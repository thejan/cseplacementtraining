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lacement_PowerBI_Dashboard\"/>
    </mc:Choice>
  </mc:AlternateContent>
  <xr:revisionPtr revIDLastSave="0" documentId="13_ncr:1_{E13A642F-292F-46C0-9DE4-045E40F16CB2}" xr6:coauthVersionLast="47" xr6:coauthVersionMax="47" xr10:uidLastSave="{00000000-0000-0000-0000-000000000000}"/>
  <bookViews>
    <workbookView xWindow="-108" yWindow="-108" windowWidth="23256" windowHeight="12456" xr2:uid="{7653F7DE-E5EE-490F-9EA5-60DA7E17AE1B}"/>
  </bookViews>
  <sheets>
    <sheet name="6A" sheetId="6" r:id="rId1"/>
    <sheet name="6B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6" i="6" l="1"/>
  <c r="M136" i="6" s="1"/>
  <c r="N136" i="6" s="1"/>
  <c r="M135" i="6"/>
  <c r="N135" i="6" s="1"/>
  <c r="L135" i="6"/>
  <c r="L134" i="6"/>
  <c r="M134" i="6" s="1"/>
  <c r="N134" i="6" s="1"/>
  <c r="L133" i="6"/>
  <c r="M133" i="6" s="1"/>
  <c r="N133" i="6" s="1"/>
  <c r="N132" i="6"/>
  <c r="M132" i="6"/>
  <c r="L132" i="6"/>
  <c r="M131" i="6"/>
  <c r="N131" i="6" s="1"/>
  <c r="L131" i="6"/>
  <c r="L130" i="6"/>
  <c r="M130" i="6" s="1"/>
  <c r="N130" i="6" s="1"/>
  <c r="L129" i="6"/>
  <c r="M129" i="6" s="1"/>
  <c r="N129" i="6" s="1"/>
  <c r="N128" i="6"/>
  <c r="M128" i="6"/>
  <c r="L128" i="6"/>
  <c r="M127" i="6"/>
  <c r="N127" i="6" s="1"/>
  <c r="L127" i="6"/>
  <c r="L126" i="6"/>
  <c r="M126" i="6" s="1"/>
  <c r="N126" i="6" s="1"/>
  <c r="L125" i="6"/>
  <c r="M125" i="6" s="1"/>
  <c r="N125" i="6" s="1"/>
  <c r="N124" i="6"/>
  <c r="M124" i="6"/>
  <c r="L124" i="6"/>
  <c r="M123" i="6"/>
  <c r="N123" i="6" s="1"/>
  <c r="L123" i="6"/>
  <c r="L122" i="6"/>
  <c r="M122" i="6" s="1"/>
  <c r="N122" i="6" s="1"/>
  <c r="L121" i="6"/>
  <c r="M121" i="6" s="1"/>
  <c r="N121" i="6" s="1"/>
  <c r="N120" i="6"/>
  <c r="M120" i="6"/>
  <c r="L120" i="6"/>
  <c r="M119" i="6"/>
  <c r="N119" i="6" s="1"/>
  <c r="L119" i="6"/>
  <c r="L118" i="6"/>
  <c r="M118" i="6" s="1"/>
  <c r="N118" i="6" s="1"/>
  <c r="L117" i="6"/>
  <c r="M117" i="6" s="1"/>
  <c r="N117" i="6" s="1"/>
  <c r="N116" i="6"/>
  <c r="M116" i="6"/>
  <c r="L116" i="6"/>
  <c r="M115" i="6"/>
  <c r="N115" i="6" s="1"/>
  <c r="L115" i="6"/>
  <c r="L114" i="6"/>
  <c r="M114" i="6" s="1"/>
  <c r="N114" i="6" s="1"/>
  <c r="L113" i="6"/>
  <c r="M113" i="6" s="1"/>
  <c r="N113" i="6" s="1"/>
  <c r="N112" i="6"/>
  <c r="M112" i="6"/>
  <c r="L112" i="6"/>
  <c r="M111" i="6"/>
  <c r="N111" i="6" s="1"/>
  <c r="L111" i="6"/>
  <c r="L110" i="6"/>
  <c r="M110" i="6" s="1"/>
  <c r="N110" i="6" s="1"/>
  <c r="L109" i="6"/>
  <c r="M109" i="6" s="1"/>
  <c r="N109" i="6" s="1"/>
  <c r="N108" i="6"/>
  <c r="M108" i="6"/>
  <c r="L108" i="6"/>
  <c r="M107" i="6"/>
  <c r="N107" i="6" s="1"/>
  <c r="L107" i="6"/>
  <c r="L106" i="6"/>
  <c r="M106" i="6" s="1"/>
  <c r="N106" i="6" s="1"/>
  <c r="L105" i="6"/>
  <c r="M105" i="6" s="1"/>
  <c r="N105" i="6" s="1"/>
  <c r="N104" i="6"/>
  <c r="M104" i="6"/>
  <c r="L104" i="6"/>
  <c r="M103" i="6"/>
  <c r="N103" i="6" s="1"/>
  <c r="L103" i="6"/>
  <c r="L102" i="6"/>
  <c r="M102" i="6" s="1"/>
  <c r="N102" i="6" s="1"/>
  <c r="L101" i="6"/>
  <c r="M101" i="6" s="1"/>
  <c r="N101" i="6" s="1"/>
  <c r="N100" i="6"/>
  <c r="M100" i="6"/>
  <c r="L100" i="6"/>
  <c r="M99" i="6"/>
  <c r="N99" i="6" s="1"/>
  <c r="L99" i="6"/>
  <c r="L98" i="6"/>
  <c r="M98" i="6" s="1"/>
  <c r="N98" i="6" s="1"/>
  <c r="L97" i="6"/>
  <c r="M97" i="6" s="1"/>
  <c r="N97" i="6" s="1"/>
  <c r="L96" i="6"/>
  <c r="M96" i="6" s="1"/>
  <c r="N96" i="6" s="1"/>
  <c r="M95" i="6"/>
  <c r="N95" i="6" s="1"/>
  <c r="L95" i="6"/>
  <c r="L94" i="6"/>
  <c r="M94" i="6" s="1"/>
  <c r="N94" i="6" s="1"/>
  <c r="M93" i="6"/>
  <c r="N93" i="6" s="1"/>
  <c r="L93" i="6"/>
  <c r="L92" i="6"/>
  <c r="M92" i="6" s="1"/>
  <c r="N92" i="6" s="1"/>
  <c r="M91" i="6"/>
  <c r="N91" i="6" s="1"/>
  <c r="L91" i="6"/>
  <c r="L90" i="6"/>
  <c r="M90" i="6" s="1"/>
  <c r="N90" i="6" s="1"/>
  <c r="M89" i="6"/>
  <c r="N89" i="6" s="1"/>
  <c r="L89" i="6"/>
  <c r="L88" i="6"/>
  <c r="M88" i="6" s="1"/>
  <c r="N88" i="6" s="1"/>
  <c r="M87" i="6"/>
  <c r="N87" i="6" s="1"/>
  <c r="L87" i="6"/>
  <c r="L86" i="6"/>
  <c r="M86" i="6" s="1"/>
  <c r="N86" i="6" s="1"/>
  <c r="M85" i="6"/>
  <c r="N85" i="6" s="1"/>
  <c r="L85" i="6"/>
  <c r="L84" i="6"/>
  <c r="M84" i="6" s="1"/>
  <c r="N84" i="6" s="1"/>
  <c r="M83" i="6"/>
  <c r="N83" i="6" s="1"/>
  <c r="L83" i="6"/>
  <c r="L82" i="6"/>
  <c r="M82" i="6" s="1"/>
  <c r="N82" i="6" s="1"/>
  <c r="M81" i="6"/>
  <c r="N81" i="6" s="1"/>
  <c r="L81" i="6"/>
  <c r="L80" i="6"/>
  <c r="M80" i="6" s="1"/>
  <c r="N80" i="6" s="1"/>
  <c r="M79" i="6"/>
  <c r="N79" i="6" s="1"/>
  <c r="L79" i="6"/>
  <c r="L78" i="6"/>
  <c r="M78" i="6" s="1"/>
  <c r="N78" i="6" s="1"/>
  <c r="L77" i="6"/>
  <c r="M77" i="6" s="1"/>
  <c r="N77" i="6" s="1"/>
  <c r="L76" i="6"/>
  <c r="M76" i="6" s="1"/>
  <c r="N76" i="6" s="1"/>
  <c r="M75" i="6"/>
  <c r="N75" i="6" s="1"/>
  <c r="L75" i="6"/>
  <c r="L74" i="6"/>
  <c r="M74" i="6" s="1"/>
  <c r="N74" i="6" s="1"/>
  <c r="L73" i="6"/>
  <c r="M73" i="6" s="1"/>
  <c r="N73" i="6" s="1"/>
  <c r="L72" i="6"/>
  <c r="M72" i="6" s="1"/>
  <c r="N72" i="6" s="1"/>
  <c r="M71" i="6"/>
  <c r="N71" i="6" s="1"/>
  <c r="L71" i="6"/>
  <c r="L70" i="6"/>
  <c r="M70" i="6" s="1"/>
  <c r="N70" i="6" s="1"/>
  <c r="N69" i="6"/>
  <c r="L4" i="7"/>
  <c r="M4" i="7" s="1"/>
  <c r="N4" i="7" s="1"/>
  <c r="L5" i="7"/>
  <c r="M5" i="7" s="1"/>
  <c r="N5" i="7" s="1"/>
  <c r="L6" i="7"/>
  <c r="M6" i="7" s="1"/>
  <c r="N6" i="7" s="1"/>
  <c r="L7" i="7"/>
  <c r="M7" i="7" s="1"/>
  <c r="N7" i="7" s="1"/>
  <c r="L8" i="7"/>
  <c r="M8" i="7" s="1"/>
  <c r="N8" i="7" s="1"/>
  <c r="L9" i="7"/>
  <c r="M9" i="7" s="1"/>
  <c r="N9" i="7" s="1"/>
  <c r="L10" i="7"/>
  <c r="M10" i="7" s="1"/>
  <c r="N10" i="7" s="1"/>
  <c r="L11" i="7"/>
  <c r="M11" i="7" s="1"/>
  <c r="N11" i="7" s="1"/>
  <c r="L12" i="7"/>
  <c r="M12" i="7" s="1"/>
  <c r="N12" i="7" s="1"/>
  <c r="L13" i="7"/>
  <c r="M13" i="7" s="1"/>
  <c r="N13" i="7" s="1"/>
  <c r="L14" i="7"/>
  <c r="M14" i="7" s="1"/>
  <c r="N14" i="7" s="1"/>
  <c r="L15" i="7"/>
  <c r="M15" i="7" s="1"/>
  <c r="N15" i="7" s="1"/>
  <c r="L16" i="7"/>
  <c r="M16" i="7" s="1"/>
  <c r="N16" i="7" s="1"/>
  <c r="L17" i="7"/>
  <c r="M17" i="7" s="1"/>
  <c r="N17" i="7" s="1"/>
  <c r="L18" i="7"/>
  <c r="M18" i="7" s="1"/>
  <c r="N18" i="7" s="1"/>
  <c r="L19" i="7"/>
  <c r="M19" i="7" s="1"/>
  <c r="N19" i="7" s="1"/>
  <c r="L20" i="7"/>
  <c r="M20" i="7" s="1"/>
  <c r="N20" i="7" s="1"/>
  <c r="L21" i="7"/>
  <c r="M21" i="7" s="1"/>
  <c r="N21" i="7" s="1"/>
  <c r="L22" i="7"/>
  <c r="M22" i="7" s="1"/>
  <c r="N22" i="7" s="1"/>
  <c r="L23" i="7"/>
  <c r="M23" i="7" s="1"/>
  <c r="N23" i="7" s="1"/>
  <c r="L24" i="7"/>
  <c r="M24" i="7" s="1"/>
  <c r="N24" i="7" s="1"/>
  <c r="L25" i="7"/>
  <c r="M25" i="7" s="1"/>
  <c r="N25" i="7" s="1"/>
  <c r="L26" i="7"/>
  <c r="M26" i="7" s="1"/>
  <c r="N26" i="7" s="1"/>
  <c r="L27" i="7"/>
  <c r="M27" i="7" s="1"/>
  <c r="N27" i="7" s="1"/>
  <c r="L28" i="7"/>
  <c r="M28" i="7" s="1"/>
  <c r="N28" i="7" s="1"/>
  <c r="L29" i="7"/>
  <c r="M29" i="7" s="1"/>
  <c r="N29" i="7" s="1"/>
  <c r="L30" i="7"/>
  <c r="M30" i="7" s="1"/>
  <c r="N30" i="7" s="1"/>
  <c r="L31" i="7"/>
  <c r="M31" i="7" s="1"/>
  <c r="N31" i="7" s="1"/>
  <c r="L32" i="7"/>
  <c r="M32" i="7" s="1"/>
  <c r="N32" i="7" s="1"/>
  <c r="L33" i="7"/>
  <c r="M33" i="7" s="1"/>
  <c r="N33" i="7" s="1"/>
  <c r="L34" i="7"/>
  <c r="M34" i="7" s="1"/>
  <c r="N34" i="7" s="1"/>
  <c r="L35" i="7"/>
  <c r="M35" i="7" s="1"/>
  <c r="N35" i="7" s="1"/>
  <c r="L36" i="7"/>
  <c r="M36" i="7" s="1"/>
  <c r="N36" i="7" s="1"/>
  <c r="L37" i="7"/>
  <c r="M37" i="7" s="1"/>
  <c r="N37" i="7" s="1"/>
  <c r="L38" i="7"/>
  <c r="M38" i="7" s="1"/>
  <c r="N38" i="7" s="1"/>
  <c r="L39" i="7"/>
  <c r="M39" i="7" s="1"/>
  <c r="N39" i="7" s="1"/>
  <c r="L40" i="7"/>
  <c r="M40" i="7" s="1"/>
  <c r="N40" i="7" s="1"/>
  <c r="L41" i="7"/>
  <c r="M41" i="7" s="1"/>
  <c r="N41" i="7" s="1"/>
  <c r="L42" i="7"/>
  <c r="M42" i="7" s="1"/>
  <c r="N42" i="7" s="1"/>
  <c r="L43" i="7"/>
  <c r="M43" i="7" s="1"/>
  <c r="N43" i="7" s="1"/>
  <c r="L44" i="7"/>
  <c r="M44" i="7" s="1"/>
  <c r="N44" i="7" s="1"/>
  <c r="L45" i="7"/>
  <c r="M45" i="7" s="1"/>
  <c r="N45" i="7" s="1"/>
  <c r="L46" i="7"/>
  <c r="M46" i="7" s="1"/>
  <c r="N46" i="7" s="1"/>
  <c r="L47" i="7"/>
  <c r="M47" i="7" s="1"/>
  <c r="N47" i="7" s="1"/>
  <c r="L48" i="7"/>
  <c r="M48" i="7" s="1"/>
  <c r="N48" i="7" s="1"/>
  <c r="L49" i="7"/>
  <c r="M49" i="7" s="1"/>
  <c r="N49" i="7" s="1"/>
  <c r="L50" i="7"/>
  <c r="M50" i="7" s="1"/>
  <c r="N50" i="7" s="1"/>
  <c r="L51" i="7"/>
  <c r="M51" i="7" s="1"/>
  <c r="N51" i="7" s="1"/>
  <c r="L52" i="7"/>
  <c r="M52" i="7" s="1"/>
  <c r="N52" i="7" s="1"/>
  <c r="L53" i="7"/>
  <c r="M53" i="7" s="1"/>
  <c r="N53" i="7" s="1"/>
  <c r="L54" i="7"/>
  <c r="M54" i="7" s="1"/>
  <c r="N54" i="7" s="1"/>
  <c r="L55" i="7"/>
  <c r="M55" i="7" s="1"/>
  <c r="N55" i="7" s="1"/>
  <c r="L56" i="7"/>
  <c r="M56" i="7" s="1"/>
  <c r="N56" i="7" s="1"/>
  <c r="L57" i="7"/>
  <c r="M57" i="7" s="1"/>
  <c r="N57" i="7" s="1"/>
  <c r="L58" i="7"/>
  <c r="M58" i="7" s="1"/>
  <c r="N58" i="7" s="1"/>
  <c r="L59" i="7"/>
  <c r="M59" i="7" s="1"/>
  <c r="N59" i="7" s="1"/>
  <c r="L60" i="7"/>
  <c r="M60" i="7" s="1"/>
  <c r="N60" i="7" s="1"/>
  <c r="L61" i="7"/>
  <c r="M61" i="7" s="1"/>
  <c r="N61" i="7" s="1"/>
  <c r="L62" i="7"/>
  <c r="M62" i="7" s="1"/>
  <c r="N62" i="7" s="1"/>
  <c r="L63" i="7"/>
  <c r="M63" i="7" s="1"/>
  <c r="N63" i="7" s="1"/>
  <c r="L64" i="7"/>
  <c r="M64" i="7" s="1"/>
  <c r="N64" i="7" s="1"/>
  <c r="L65" i="7"/>
  <c r="M65" i="7" s="1"/>
  <c r="N65" i="7" s="1"/>
  <c r="L66" i="7"/>
  <c r="M66" i="7" s="1"/>
  <c r="N66" i="7" s="1"/>
  <c r="L67" i="7"/>
  <c r="M67" i="7" s="1"/>
  <c r="N67" i="7" s="1"/>
  <c r="L68" i="7"/>
  <c r="M68" i="7" s="1"/>
  <c r="N68" i="7" s="1"/>
  <c r="L69" i="7"/>
  <c r="M69" i="7" s="1"/>
  <c r="N69" i="7" s="1"/>
  <c r="L3" i="7"/>
  <c r="M3" i="7" s="1"/>
  <c r="N3" i="7" s="1"/>
  <c r="L4" i="6"/>
  <c r="M4" i="6" s="1"/>
  <c r="N4" i="6" s="1"/>
  <c r="L5" i="6"/>
  <c r="M5" i="6" s="1"/>
  <c r="N5" i="6" s="1"/>
  <c r="L6" i="6"/>
  <c r="M6" i="6" s="1"/>
  <c r="N6" i="6" s="1"/>
  <c r="L7" i="6"/>
  <c r="M7" i="6" s="1"/>
  <c r="N7" i="6" s="1"/>
  <c r="L8" i="6"/>
  <c r="M8" i="6" s="1"/>
  <c r="N8" i="6" s="1"/>
  <c r="L9" i="6"/>
  <c r="M9" i="6" s="1"/>
  <c r="N9" i="6" s="1"/>
  <c r="L10" i="6"/>
  <c r="M10" i="6" s="1"/>
  <c r="N10" i="6" s="1"/>
  <c r="L11" i="6"/>
  <c r="M11" i="6" s="1"/>
  <c r="N11" i="6" s="1"/>
  <c r="L12" i="6"/>
  <c r="M12" i="6" s="1"/>
  <c r="N12" i="6" s="1"/>
  <c r="L13" i="6"/>
  <c r="M13" i="6" s="1"/>
  <c r="N13" i="6" s="1"/>
  <c r="L14" i="6"/>
  <c r="M14" i="6" s="1"/>
  <c r="N14" i="6" s="1"/>
  <c r="L15" i="6"/>
  <c r="M15" i="6" s="1"/>
  <c r="N15" i="6" s="1"/>
  <c r="L16" i="6"/>
  <c r="M16" i="6" s="1"/>
  <c r="N16" i="6" s="1"/>
  <c r="L17" i="6"/>
  <c r="M17" i="6" s="1"/>
  <c r="N17" i="6" s="1"/>
  <c r="L18" i="6"/>
  <c r="M18" i="6" s="1"/>
  <c r="N18" i="6" s="1"/>
  <c r="L19" i="6"/>
  <c r="M19" i="6" s="1"/>
  <c r="N19" i="6" s="1"/>
  <c r="L20" i="6"/>
  <c r="M20" i="6" s="1"/>
  <c r="N20" i="6" s="1"/>
  <c r="L21" i="6"/>
  <c r="M21" i="6" s="1"/>
  <c r="N21" i="6" s="1"/>
  <c r="L22" i="6"/>
  <c r="M22" i="6" s="1"/>
  <c r="N22" i="6" s="1"/>
  <c r="L23" i="6"/>
  <c r="M23" i="6" s="1"/>
  <c r="N23" i="6" s="1"/>
  <c r="L24" i="6"/>
  <c r="M24" i="6" s="1"/>
  <c r="N24" i="6" s="1"/>
  <c r="L25" i="6"/>
  <c r="M25" i="6" s="1"/>
  <c r="N25" i="6" s="1"/>
  <c r="L26" i="6"/>
  <c r="M26" i="6" s="1"/>
  <c r="N26" i="6" s="1"/>
  <c r="L27" i="6"/>
  <c r="M27" i="6" s="1"/>
  <c r="N27" i="6" s="1"/>
  <c r="L28" i="6"/>
  <c r="M28" i="6" s="1"/>
  <c r="N28" i="6" s="1"/>
  <c r="L29" i="6"/>
  <c r="M29" i="6" s="1"/>
  <c r="N29" i="6" s="1"/>
  <c r="L30" i="6"/>
  <c r="M30" i="6" s="1"/>
  <c r="N30" i="6" s="1"/>
  <c r="L31" i="6"/>
  <c r="M31" i="6" s="1"/>
  <c r="N31" i="6" s="1"/>
  <c r="L32" i="6"/>
  <c r="M32" i="6" s="1"/>
  <c r="N32" i="6" s="1"/>
  <c r="L33" i="6"/>
  <c r="M33" i="6" s="1"/>
  <c r="N33" i="6" s="1"/>
  <c r="L34" i="6"/>
  <c r="M34" i="6" s="1"/>
  <c r="N34" i="6" s="1"/>
  <c r="L35" i="6"/>
  <c r="M35" i="6" s="1"/>
  <c r="N35" i="6" s="1"/>
  <c r="L36" i="6"/>
  <c r="M36" i="6" s="1"/>
  <c r="N36" i="6" s="1"/>
  <c r="L37" i="6"/>
  <c r="M37" i="6" s="1"/>
  <c r="N37" i="6" s="1"/>
  <c r="L38" i="6"/>
  <c r="M38" i="6" s="1"/>
  <c r="N38" i="6" s="1"/>
  <c r="L39" i="6"/>
  <c r="M39" i="6" s="1"/>
  <c r="N39" i="6" s="1"/>
  <c r="L40" i="6"/>
  <c r="M40" i="6" s="1"/>
  <c r="N40" i="6" s="1"/>
  <c r="L41" i="6"/>
  <c r="M41" i="6" s="1"/>
  <c r="N41" i="6" s="1"/>
  <c r="L42" i="6"/>
  <c r="M42" i="6" s="1"/>
  <c r="N42" i="6" s="1"/>
  <c r="L43" i="6"/>
  <c r="M43" i="6" s="1"/>
  <c r="N43" i="6" s="1"/>
  <c r="L44" i="6"/>
  <c r="M44" i="6" s="1"/>
  <c r="N44" i="6" s="1"/>
  <c r="L45" i="6"/>
  <c r="M45" i="6" s="1"/>
  <c r="N45" i="6" s="1"/>
  <c r="L46" i="6"/>
  <c r="M46" i="6" s="1"/>
  <c r="N46" i="6" s="1"/>
  <c r="L47" i="6"/>
  <c r="M47" i="6" s="1"/>
  <c r="N47" i="6" s="1"/>
  <c r="L48" i="6"/>
  <c r="M48" i="6" s="1"/>
  <c r="N48" i="6" s="1"/>
  <c r="L49" i="6"/>
  <c r="M49" i="6" s="1"/>
  <c r="N49" i="6" s="1"/>
  <c r="L50" i="6"/>
  <c r="M50" i="6" s="1"/>
  <c r="N50" i="6" s="1"/>
  <c r="L51" i="6"/>
  <c r="M51" i="6" s="1"/>
  <c r="N51" i="6" s="1"/>
  <c r="L52" i="6"/>
  <c r="M52" i="6" s="1"/>
  <c r="N52" i="6" s="1"/>
  <c r="L53" i="6"/>
  <c r="M53" i="6" s="1"/>
  <c r="N53" i="6" s="1"/>
  <c r="L54" i="6"/>
  <c r="M54" i="6" s="1"/>
  <c r="N54" i="6" s="1"/>
  <c r="L55" i="6"/>
  <c r="M55" i="6" s="1"/>
  <c r="N55" i="6" s="1"/>
  <c r="L56" i="6"/>
  <c r="M56" i="6" s="1"/>
  <c r="N56" i="6" s="1"/>
  <c r="L57" i="6"/>
  <c r="M57" i="6" s="1"/>
  <c r="N57" i="6" s="1"/>
  <c r="L58" i="6"/>
  <c r="M58" i="6" s="1"/>
  <c r="N58" i="6" s="1"/>
  <c r="L59" i="6"/>
  <c r="M59" i="6" s="1"/>
  <c r="N59" i="6" s="1"/>
  <c r="L60" i="6"/>
  <c r="M60" i="6" s="1"/>
  <c r="N60" i="6" s="1"/>
  <c r="L61" i="6"/>
  <c r="M61" i="6" s="1"/>
  <c r="N61" i="6" s="1"/>
  <c r="L62" i="6"/>
  <c r="M62" i="6" s="1"/>
  <c r="N62" i="6" s="1"/>
  <c r="L63" i="6"/>
  <c r="M63" i="6" s="1"/>
  <c r="N63" i="6" s="1"/>
  <c r="L64" i="6"/>
  <c r="M64" i="6" s="1"/>
  <c r="N64" i="6" s="1"/>
  <c r="L65" i="6"/>
  <c r="M65" i="6" s="1"/>
  <c r="N65" i="6" s="1"/>
  <c r="L66" i="6"/>
  <c r="M66" i="6" s="1"/>
  <c r="N66" i="6" s="1"/>
  <c r="L67" i="6"/>
  <c r="M67" i="6" s="1"/>
  <c r="N67" i="6" s="1"/>
  <c r="L68" i="6"/>
  <c r="M68" i="6" s="1"/>
  <c r="N68" i="6" s="1"/>
  <c r="L69" i="6"/>
  <c r="M69" i="6" s="1"/>
  <c r="L3" i="6"/>
  <c r="M3" i="6" s="1"/>
  <c r="N3" i="6" s="1"/>
</calcChain>
</file>

<file path=xl/sharedStrings.xml><?xml version="1.0" encoding="utf-8"?>
<sst xmlns="http://schemas.openxmlformats.org/spreadsheetml/2006/main" count="430" uniqueCount="282">
  <si>
    <t>SL. NO.</t>
  </si>
  <si>
    <t>USN</t>
  </si>
  <si>
    <t>NAME</t>
  </si>
  <si>
    <t>CA</t>
  </si>
  <si>
    <t>TAP</t>
  </si>
  <si>
    <t>PreTest</t>
  </si>
  <si>
    <t>Arrays</t>
  </si>
  <si>
    <t>Stack</t>
  </si>
  <si>
    <t>Queues</t>
  </si>
  <si>
    <t>Linked List</t>
  </si>
  <si>
    <t>Searching</t>
  </si>
  <si>
    <t>Sorting</t>
  </si>
  <si>
    <t>Expert Session</t>
  </si>
  <si>
    <t>4AD23CS001</t>
  </si>
  <si>
    <t>ABDUL RAZAK A S</t>
  </si>
  <si>
    <t>4AD23CS002</t>
  </si>
  <si>
    <t>ABHINANDAN</t>
  </si>
  <si>
    <t>4AD23CS003</t>
  </si>
  <si>
    <t>ABHISHEK GOWDA G S</t>
  </si>
  <si>
    <t>4AD23CS004</t>
  </si>
  <si>
    <t>ABHISHEK GOWDA T R</t>
  </si>
  <si>
    <t>4AD23CS006</t>
  </si>
  <si>
    <t>ADITYA DEEKSHITH H</t>
  </si>
  <si>
    <t>4AD23CS008</t>
  </si>
  <si>
    <t>AKASH SAJJAN</t>
  </si>
  <si>
    <t>4AD23CS009</t>
  </si>
  <si>
    <t>AKSHAY N</t>
  </si>
  <si>
    <t>4AD23CS010</t>
  </si>
  <si>
    <t>AMANISHA MANHAS</t>
  </si>
  <si>
    <t>4AD23CS011</t>
  </si>
  <si>
    <t>AMITH H M</t>
  </si>
  <si>
    <t>4AD23CS012</t>
  </si>
  <si>
    <t>AMRUTESH CHANDRASHEKHAR ANNIGERI</t>
  </si>
  <si>
    <t>4AD23CS013</t>
  </si>
  <si>
    <t>AMRUTHA B G</t>
  </si>
  <si>
    <t>4AD23CS014</t>
  </si>
  <si>
    <t>ANANYA S</t>
  </si>
  <si>
    <t>4AD23CS015</t>
  </si>
  <si>
    <t>ANDREA IMNA M A</t>
  </si>
  <si>
    <t>4AD23CS016</t>
  </si>
  <si>
    <t>ANUSHA R</t>
  </si>
  <si>
    <t>4AD23CS017</t>
  </si>
  <si>
    <t>APOORVA</t>
  </si>
  <si>
    <t>4AD23CS018</t>
  </si>
  <si>
    <t>ARMIN WAFA M J</t>
  </si>
  <si>
    <t>4AD23CS019</t>
  </si>
  <si>
    <t>BASAVESH R</t>
  </si>
  <si>
    <t>4AD23CS020</t>
  </si>
  <si>
    <t>BHOOMIKA BABU NAIK</t>
  </si>
  <si>
    <t>4AD23CS021</t>
  </si>
  <si>
    <t>BHOOMIKA N</t>
  </si>
  <si>
    <t>4AD23CS022</t>
  </si>
  <si>
    <t>BHOOMIKA N R</t>
  </si>
  <si>
    <t>4AD23CS023</t>
  </si>
  <si>
    <t>BHUVAN D N</t>
  </si>
  <si>
    <t>4AD23CS024</t>
  </si>
  <si>
    <t>CHAITRA C N</t>
  </si>
  <si>
    <t>4AD23CS025</t>
  </si>
  <si>
    <t>CHANDANA K</t>
  </si>
  <si>
    <t>4AD23CS027</t>
  </si>
  <si>
    <t>CHETHAN H M</t>
  </si>
  <si>
    <t>4AD23CS028</t>
  </si>
  <si>
    <t>DEEKSHA</t>
  </si>
  <si>
    <t>4AD23CS029</t>
  </si>
  <si>
    <t>DEEKSHATH K P</t>
  </si>
  <si>
    <t>4AD23CS030</t>
  </si>
  <si>
    <t>DHANUSH H</t>
  </si>
  <si>
    <t>4AD23CS031</t>
  </si>
  <si>
    <t>DHANUSH P L</t>
  </si>
  <si>
    <t>4AD23CS032</t>
  </si>
  <si>
    <t>DHANUSHRI S P</t>
  </si>
  <si>
    <t>4AD23CS033</t>
  </si>
  <si>
    <t>DIMPLE C R</t>
  </si>
  <si>
    <t>4AD23CS034</t>
  </si>
  <si>
    <t>DRUVA B</t>
  </si>
  <si>
    <t>4AD23CS035</t>
  </si>
  <si>
    <t>HARISH L</t>
  </si>
  <si>
    <t>4AD23CS036</t>
  </si>
  <si>
    <t>HARSHAVARDHAN C</t>
  </si>
  <si>
    <t>4AD23CS037</t>
  </si>
  <si>
    <t>HARSHITH A N</t>
  </si>
  <si>
    <t>4AD23CS038</t>
  </si>
  <si>
    <t>HARSHITHA S G</t>
  </si>
  <si>
    <t>4AD23CS039</t>
  </si>
  <si>
    <t>HEMASHREE D R</t>
  </si>
  <si>
    <t>4AD23CS040</t>
  </si>
  <si>
    <t>ISSA SYED MAHMOOD</t>
  </si>
  <si>
    <t>4AD23CS041</t>
  </si>
  <si>
    <t>JAGRUTHI RAMESH</t>
  </si>
  <si>
    <t>4AD23CS042</t>
  </si>
  <si>
    <t>JANYA U SINGH</t>
  </si>
  <si>
    <t>4AD23CS044</t>
  </si>
  <si>
    <t>JAYANTH G</t>
  </si>
  <si>
    <t>4AD23CS045</t>
  </si>
  <si>
    <t>JAYANTH H V</t>
  </si>
  <si>
    <t>4AD23CS046</t>
  </si>
  <si>
    <t>JEEVITHA R</t>
  </si>
  <si>
    <t>4AD23CS047</t>
  </si>
  <si>
    <t>JHENKAR B</t>
  </si>
  <si>
    <t>4AD23CS048</t>
  </si>
  <si>
    <t>KARTHIK M</t>
  </si>
  <si>
    <t>4AD23CS049</t>
  </si>
  <si>
    <t>KAVANA K P</t>
  </si>
  <si>
    <t>4AD23CS050</t>
  </si>
  <si>
    <t>KEERTHANA M P</t>
  </si>
  <si>
    <t>4AD23CS051</t>
  </si>
  <si>
    <t>KEERTHI G L</t>
  </si>
  <si>
    <t>4AD23CS052</t>
  </si>
  <si>
    <t>KIRAN KUMAR V</t>
  </si>
  <si>
    <t>4AD23CS053</t>
  </si>
  <si>
    <t>KISHORE S V</t>
  </si>
  <si>
    <t>4AD23CS054</t>
  </si>
  <si>
    <t>KRUTHI D</t>
  </si>
  <si>
    <t>4AD23CS055</t>
  </si>
  <si>
    <t>LAKSHMI M</t>
  </si>
  <si>
    <t>4AD23CS056</t>
  </si>
  <si>
    <t>LOCHANA A R</t>
  </si>
  <si>
    <t>4AD23CS057</t>
  </si>
  <si>
    <t>MAHADEVA PRABHU R</t>
  </si>
  <si>
    <t>4AD23CS058</t>
  </si>
  <si>
    <t>MAHALAKSHMI R</t>
  </si>
  <si>
    <t>4AD23CS059</t>
  </si>
  <si>
    <t>MAHANTESH VITTHAL KADAPATTI</t>
  </si>
  <si>
    <t>4AD23CS060</t>
  </si>
  <si>
    <t>MALLESHA M</t>
  </si>
  <si>
    <t>4AD23CS061</t>
  </si>
  <si>
    <t>MANOJ GOWTHAM K G</t>
  </si>
  <si>
    <t>4AD24CS400</t>
  </si>
  <si>
    <t>AFEEFA SABAHUTH</t>
  </si>
  <si>
    <t>4AD24CS401</t>
  </si>
  <si>
    <t>AKASH N</t>
  </si>
  <si>
    <t>4AD24CS402</t>
  </si>
  <si>
    <t>AKSHAY SHEKAR DEVADIGA</t>
  </si>
  <si>
    <t>4AD24CS403</t>
  </si>
  <si>
    <t>AMULYA B</t>
  </si>
  <si>
    <t>4AD24CS404</t>
  </si>
  <si>
    <t>ANTHONY SUJAN</t>
  </si>
  <si>
    <t>4AD24CS405</t>
  </si>
  <si>
    <t>ARBIYA MARYAM</t>
  </si>
  <si>
    <t>4AD24CS406</t>
  </si>
  <si>
    <t>ARPITHA M</t>
  </si>
  <si>
    <t>4AD24CS407</t>
  </si>
  <si>
    <t>BANU BK</t>
  </si>
  <si>
    <t>4AD24CS409</t>
  </si>
  <si>
    <t>DARSHAN D</t>
  </si>
  <si>
    <t>4AD24CS419</t>
  </si>
  <si>
    <t>SINDHU H S</t>
  </si>
  <si>
    <t>4AD22CS121</t>
  </si>
  <si>
    <t>VACHAN KUMAR D R</t>
  </si>
  <si>
    <t>4AD23CS062</t>
  </si>
  <si>
    <t>MANYA N S</t>
  </si>
  <si>
    <t>4AD23CS063</t>
  </si>
  <si>
    <t>MARIAM FATHIMA</t>
  </si>
  <si>
    <t>4AD23CS064</t>
  </si>
  <si>
    <t>MOHAMMED AYAN A</t>
  </si>
  <si>
    <t>4AD23CS065</t>
  </si>
  <si>
    <t>MOHAMMED FARDEEN</t>
  </si>
  <si>
    <t>4AD23CS066</t>
  </si>
  <si>
    <t>MOHAMMED HUSSAIN CHAND</t>
  </si>
  <si>
    <t>4AD23CS067</t>
  </si>
  <si>
    <t>MOHAMMED SHADAB KHALID</t>
  </si>
  <si>
    <t>4AD23CS068</t>
  </si>
  <si>
    <t>MOHAMMED USAMA</t>
  </si>
  <si>
    <t>4AD23CS069</t>
  </si>
  <si>
    <t>MOHAMMED USMAN</t>
  </si>
  <si>
    <t>4AD23CS070</t>
  </si>
  <si>
    <t>MRUDULA H N</t>
  </si>
  <si>
    <t>4AD23CS072</t>
  </si>
  <si>
    <t>NISCHAY U SHET</t>
  </si>
  <si>
    <t>4AD23CS073</t>
  </si>
  <si>
    <t>PALLAVI P</t>
  </si>
  <si>
    <t>4AD23CS074</t>
  </si>
  <si>
    <t>PARSHANT SHARMA</t>
  </si>
  <si>
    <t>4AD23CS075</t>
  </si>
  <si>
    <t>PRAJWAL B</t>
  </si>
  <si>
    <t>4AD23CS076</t>
  </si>
  <si>
    <t>PRAJWAL R</t>
  </si>
  <si>
    <t>4AD23CS077</t>
  </si>
  <si>
    <t>PRANAV N</t>
  </si>
  <si>
    <t>4AD23CS078</t>
  </si>
  <si>
    <t>PRANAV UMESH</t>
  </si>
  <si>
    <t>4AD23CS079</t>
  </si>
  <si>
    <t>PRASHANTH M R</t>
  </si>
  <si>
    <t>4AD23CS080</t>
  </si>
  <si>
    <t>PREETHI K</t>
  </si>
  <si>
    <t>4AD23CS081</t>
  </si>
  <si>
    <t>PRIYANKA N S</t>
  </si>
  <si>
    <t>4AD23CS082</t>
  </si>
  <si>
    <t>PRIYANKA S</t>
  </si>
  <si>
    <t>4AD23CS083</t>
  </si>
  <si>
    <t>PUNEETH J</t>
  </si>
  <si>
    <t>4AD23CS084</t>
  </si>
  <si>
    <t>R RISHU PRASAD</t>
  </si>
  <si>
    <t>4AD23CS085</t>
  </si>
  <si>
    <t>RAGHUNANDAN A S</t>
  </si>
  <si>
    <t>4AD23CS086</t>
  </si>
  <si>
    <t>RAKSHITHA R</t>
  </si>
  <si>
    <t>4AD23CS087</t>
  </si>
  <si>
    <t>RAKSHITHA S</t>
  </si>
  <si>
    <t>4AD23CS088</t>
  </si>
  <si>
    <t>RANJAN K M</t>
  </si>
  <si>
    <t>4AD23CS089</t>
  </si>
  <si>
    <t>RANJITHA S S</t>
  </si>
  <si>
    <t>4AD23CS090</t>
  </si>
  <si>
    <t>RASHMI M</t>
  </si>
  <si>
    <t>4AD23CS091</t>
  </si>
  <si>
    <t>RIFAH HABEEB</t>
  </si>
  <si>
    <t>4AD23CS092</t>
  </si>
  <si>
    <t>ROHITH K KALE</t>
  </si>
  <si>
    <t>4AD23CS093</t>
  </si>
  <si>
    <t>S DYUTHI</t>
  </si>
  <si>
    <t>4AD23CS094</t>
  </si>
  <si>
    <t>S LANCHANA</t>
  </si>
  <si>
    <t>4AD23CS095</t>
  </si>
  <si>
    <t>SACHIN K M</t>
  </si>
  <si>
    <t>4AD23CS096</t>
  </si>
  <si>
    <t>SADIQ AHMED</t>
  </si>
  <si>
    <t>4AD23CS097</t>
  </si>
  <si>
    <t>SANJANA B U</t>
  </si>
  <si>
    <t>4AD23CS098</t>
  </si>
  <si>
    <t>SANJAY S</t>
  </si>
  <si>
    <t>4AD23CS099</t>
  </si>
  <si>
    <t>SHAIK ZARAR HUSSAIN</t>
  </si>
  <si>
    <t>4AD23CS100</t>
  </si>
  <si>
    <t>SHASHANK B S</t>
  </si>
  <si>
    <t>4AD23CS101</t>
  </si>
  <si>
    <t>SHASHANK K H</t>
  </si>
  <si>
    <t>4AD23CS102</t>
  </si>
  <si>
    <t>SHIVA PRAKASH R S</t>
  </si>
  <si>
    <t>4AD23CS104</t>
  </si>
  <si>
    <t>SONALI NAG</t>
  </si>
  <si>
    <t>4AD23CS105</t>
  </si>
  <si>
    <t>SONASHREE D M</t>
  </si>
  <si>
    <t>4AD23CS106</t>
  </si>
  <si>
    <t>SOURAV SINGH</t>
  </si>
  <si>
    <t>4AD23CS107</t>
  </si>
  <si>
    <t>SUHANA S</t>
  </si>
  <si>
    <t>4AD23CS108</t>
  </si>
  <si>
    <t>SWATHI K S</t>
  </si>
  <si>
    <t>4AD23CS109</t>
  </si>
  <si>
    <t>THEJASWINI R</t>
  </si>
  <si>
    <t>4AD23CS110</t>
  </si>
  <si>
    <t>THEJUS S G</t>
  </si>
  <si>
    <t>4AD23CS111</t>
  </si>
  <si>
    <t>TUBA TASKEEN</t>
  </si>
  <si>
    <t>4AD23CS112</t>
  </si>
  <si>
    <t>UDITH S</t>
  </si>
  <si>
    <t>4AD23CS113</t>
  </si>
  <si>
    <t>UJWAL D GOTUR</t>
  </si>
  <si>
    <t>4AD23CS114</t>
  </si>
  <si>
    <t>VARDHINI S K</t>
  </si>
  <si>
    <t>4AD23CS115</t>
  </si>
  <si>
    <t>VEDASMITHA LOKESH</t>
  </si>
  <si>
    <t>4AD23CS116</t>
  </si>
  <si>
    <t>VIJAY R GALI</t>
  </si>
  <si>
    <t>4AD23CS117</t>
  </si>
  <si>
    <t>VIKAS SAMPATH</t>
  </si>
  <si>
    <t>4AD23CS118</t>
  </si>
  <si>
    <t>YASHASWINI R</t>
  </si>
  <si>
    <t>4AD23CS119</t>
  </si>
  <si>
    <t>YUKTH P</t>
  </si>
  <si>
    <t>4AD23CS120</t>
  </si>
  <si>
    <t>ZUHA THAZNAIN S Z</t>
  </si>
  <si>
    <t>4AD24CS410</t>
  </si>
  <si>
    <t>GIRISH N</t>
  </si>
  <si>
    <t>4AD24CS411</t>
  </si>
  <si>
    <t>GOKUL GOWDA P</t>
  </si>
  <si>
    <t>4AD24CS413</t>
  </si>
  <si>
    <t>HEMANTH S S</t>
  </si>
  <si>
    <t>4AD24CS414</t>
  </si>
  <si>
    <t>NANDINI K</t>
  </si>
  <si>
    <t>4AD24CS416</t>
  </si>
  <si>
    <t>SALMAN ULLA</t>
  </si>
  <si>
    <t>4AD24CS417</t>
  </si>
  <si>
    <t>SANIYA KHALID</t>
  </si>
  <si>
    <t>4AD24CS418</t>
  </si>
  <si>
    <t>SHREYAS M R</t>
  </si>
  <si>
    <t>4AD24CS420</t>
  </si>
  <si>
    <t>SPANDANA V</t>
  </si>
  <si>
    <t>4AD24CS421</t>
  </si>
  <si>
    <t>VISMAY M</t>
  </si>
  <si>
    <t>Participation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</si>
</sst>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  <charset val="1"/>
    </font>
    <font>
      <sz val="12"/>
      <color rgb="FF9C0006"/>
      <name val="Times New Roman"/>
      <family val="1"/>
    </font>
    <font>
      <sz val="12"/>
      <color rgb="FF00610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55"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D3CF-4A7D-4DEF-8541-78201125C68E}">
  <sheetPr>
    <pageSetUpPr fitToPage="1"/>
  </sheetPr>
  <dimension ref="A1:O136"/>
  <sheetViews>
    <sheetView tabSelected="1" topLeftCell="A30" zoomScaleNormal="100" workbookViewId="0">
      <selection activeCell="A62" sqref="A62:A136"/>
    </sheetView>
  </sheetViews>
  <sheetFormatPr defaultRowHeight="15.6" x14ac:dyDescent="0.3"/>
  <cols>
    <col min="1" max="1" width="8.6640625" bestFit="1" customWidth="1"/>
    <col min="2" max="2" width="13.5546875" bestFit="1" customWidth="1"/>
    <col min="3" max="3" width="46.109375" bestFit="1" customWidth="1"/>
    <col min="4" max="4" width="11.44140625" style="4" bestFit="1" customWidth="1"/>
    <col min="5" max="7" width="11.44140625" bestFit="1" customWidth="1"/>
    <col min="8" max="8" width="11.77734375" bestFit="1" customWidth="1"/>
    <col min="9" max="10" width="11.44140625" bestFit="1" customWidth="1"/>
    <col min="11" max="11" width="15" bestFit="1" customWidth="1"/>
    <col min="12" max="12" width="4.109375" style="4" bestFit="1" customWidth="1"/>
    <col min="13" max="13" width="5.33203125" style="4" bestFit="1" customWidth="1"/>
    <col min="14" max="14" width="19.109375" style="1" bestFit="1" customWidth="1"/>
  </cols>
  <sheetData>
    <row r="1" spans="1:14" x14ac:dyDescent="0.3">
      <c r="A1" s="17" t="s">
        <v>0</v>
      </c>
      <c r="B1" s="17" t="s">
        <v>1</v>
      </c>
      <c r="C1" s="17" t="s">
        <v>2</v>
      </c>
      <c r="D1" s="9">
        <v>46070</v>
      </c>
      <c r="E1" s="9">
        <v>46077</v>
      </c>
      <c r="F1" s="9">
        <v>46084</v>
      </c>
      <c r="G1" s="9">
        <v>46091</v>
      </c>
      <c r="H1" s="9">
        <v>46098</v>
      </c>
      <c r="I1" s="9">
        <v>46105</v>
      </c>
      <c r="J1" s="9">
        <v>46133</v>
      </c>
      <c r="K1" s="9">
        <v>46160</v>
      </c>
      <c r="L1" s="19" t="s">
        <v>3</v>
      </c>
      <c r="M1" s="19" t="s">
        <v>4</v>
      </c>
      <c r="N1" s="19" t="s">
        <v>281</v>
      </c>
    </row>
    <row r="2" spans="1:14" x14ac:dyDescent="0.3">
      <c r="A2" s="18"/>
      <c r="B2" s="18"/>
      <c r="C2" s="18"/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9"/>
      <c r="M2" s="19"/>
      <c r="N2" s="19"/>
    </row>
    <row r="3" spans="1:14" x14ac:dyDescent="0.3">
      <c r="A3" s="2">
        <v>1</v>
      </c>
      <c r="B3" s="8" t="s">
        <v>13</v>
      </c>
      <c r="C3" s="8" t="s">
        <v>14</v>
      </c>
      <c r="D3" s="2">
        <v>0</v>
      </c>
      <c r="E3" s="7">
        <v>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11">
        <v>0</v>
      </c>
      <c r="L3" s="5">
        <f>SUM(D3:K3)</f>
        <v>1</v>
      </c>
      <c r="M3" s="5">
        <f>(L3/8)*100</f>
        <v>12.5</v>
      </c>
      <c r="N3" s="7" t="str">
        <f>IF(M3&gt;=85,"Excellent",IF(M3&gt;=70,"Very Good",IF(M3&gt;=60,"Good",IF(M3&gt;=50,"Fair","Poor"))))</f>
        <v>Poor</v>
      </c>
    </row>
    <row r="4" spans="1:14" x14ac:dyDescent="0.3">
      <c r="A4" s="2">
        <v>2</v>
      </c>
      <c r="B4" s="8" t="s">
        <v>15</v>
      </c>
      <c r="C4" s="8" t="s">
        <v>16</v>
      </c>
      <c r="D4" s="2">
        <v>1</v>
      </c>
      <c r="E4" s="7">
        <v>1</v>
      </c>
      <c r="F4" s="7">
        <v>0</v>
      </c>
      <c r="G4" s="7">
        <v>1</v>
      </c>
      <c r="H4" s="7">
        <v>1</v>
      </c>
      <c r="I4" s="7">
        <v>1</v>
      </c>
      <c r="J4" s="7">
        <v>0</v>
      </c>
      <c r="K4" s="11">
        <v>1</v>
      </c>
      <c r="L4" s="5">
        <f t="shared" ref="L4:L67" si="0">SUM(D4:K4)</f>
        <v>6</v>
      </c>
      <c r="M4" s="5">
        <f t="shared" ref="M4:M67" si="1">(L4/8)*100</f>
        <v>75</v>
      </c>
      <c r="N4" s="7" t="str">
        <f t="shared" ref="N4:N67" si="2">IF(M4&gt;=85,"Excellent",IF(M4&gt;=70,"Very Good",IF(M4&gt;=60,"Good",IF(M4&gt;=50,"Fair","Poor"))))</f>
        <v>Very Good</v>
      </c>
    </row>
    <row r="5" spans="1:14" x14ac:dyDescent="0.3">
      <c r="A5" s="2">
        <v>3</v>
      </c>
      <c r="B5" s="8" t="s">
        <v>17</v>
      </c>
      <c r="C5" s="8" t="s">
        <v>18</v>
      </c>
      <c r="D5" s="2">
        <v>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11">
        <v>0</v>
      </c>
      <c r="L5" s="5">
        <f t="shared" si="0"/>
        <v>2</v>
      </c>
      <c r="M5" s="5">
        <f t="shared" si="1"/>
        <v>25</v>
      </c>
      <c r="N5" s="7" t="str">
        <f t="shared" si="2"/>
        <v>Poor</v>
      </c>
    </row>
    <row r="6" spans="1:14" x14ac:dyDescent="0.3">
      <c r="A6" s="2">
        <v>4</v>
      </c>
      <c r="B6" s="8" t="s">
        <v>19</v>
      </c>
      <c r="C6" s="8" t="s">
        <v>20</v>
      </c>
      <c r="D6" s="2">
        <v>1</v>
      </c>
      <c r="E6" s="7">
        <v>1</v>
      </c>
      <c r="F6" s="7">
        <v>0</v>
      </c>
      <c r="G6" s="7">
        <v>1</v>
      </c>
      <c r="H6" s="7">
        <v>1</v>
      </c>
      <c r="I6" s="7">
        <v>1</v>
      </c>
      <c r="J6" s="7">
        <v>0</v>
      </c>
      <c r="K6" s="11">
        <v>1</v>
      </c>
      <c r="L6" s="5">
        <f t="shared" si="0"/>
        <v>6</v>
      </c>
      <c r="M6" s="5">
        <f t="shared" si="1"/>
        <v>75</v>
      </c>
      <c r="N6" s="7" t="str">
        <f t="shared" si="2"/>
        <v>Very Good</v>
      </c>
    </row>
    <row r="7" spans="1:14" x14ac:dyDescent="0.3">
      <c r="A7" s="2">
        <v>5</v>
      </c>
      <c r="B7" s="8" t="s">
        <v>21</v>
      </c>
      <c r="C7" s="8" t="s">
        <v>22</v>
      </c>
      <c r="D7" s="2">
        <v>1</v>
      </c>
      <c r="E7" s="7">
        <v>1</v>
      </c>
      <c r="F7" s="7">
        <v>0</v>
      </c>
      <c r="G7" s="7">
        <v>1</v>
      </c>
      <c r="H7" s="7">
        <v>1</v>
      </c>
      <c r="I7" s="7">
        <v>1</v>
      </c>
      <c r="J7" s="7">
        <v>1</v>
      </c>
      <c r="K7" s="11">
        <v>1</v>
      </c>
      <c r="L7" s="5">
        <f t="shared" si="0"/>
        <v>7</v>
      </c>
      <c r="M7" s="5">
        <f t="shared" si="1"/>
        <v>87.5</v>
      </c>
      <c r="N7" s="7" t="str">
        <f t="shared" si="2"/>
        <v>Excellent</v>
      </c>
    </row>
    <row r="8" spans="1:14" x14ac:dyDescent="0.3">
      <c r="A8" s="2">
        <v>6</v>
      </c>
      <c r="B8" s="8" t="s">
        <v>23</v>
      </c>
      <c r="C8" s="8" t="s">
        <v>24</v>
      </c>
      <c r="D8" s="2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11">
        <v>0</v>
      </c>
      <c r="L8" s="5">
        <f t="shared" si="0"/>
        <v>0</v>
      </c>
      <c r="M8" s="5">
        <f t="shared" si="1"/>
        <v>0</v>
      </c>
      <c r="N8" s="7" t="str">
        <f t="shared" si="2"/>
        <v>Poor</v>
      </c>
    </row>
    <row r="9" spans="1:14" x14ac:dyDescent="0.3">
      <c r="A9" s="2">
        <v>7</v>
      </c>
      <c r="B9" s="8" t="s">
        <v>25</v>
      </c>
      <c r="C9" s="8" t="s">
        <v>26</v>
      </c>
      <c r="D9" s="7">
        <v>1</v>
      </c>
      <c r="E9" s="7">
        <v>1</v>
      </c>
      <c r="F9" s="7">
        <v>0</v>
      </c>
      <c r="G9" s="7">
        <v>1</v>
      </c>
      <c r="H9" s="7">
        <v>1</v>
      </c>
      <c r="I9" s="7">
        <v>1</v>
      </c>
      <c r="J9" s="7">
        <v>1</v>
      </c>
      <c r="K9" s="11">
        <v>1</v>
      </c>
      <c r="L9" s="5">
        <f t="shared" si="0"/>
        <v>7</v>
      </c>
      <c r="M9" s="5">
        <f t="shared" si="1"/>
        <v>87.5</v>
      </c>
      <c r="N9" s="7" t="str">
        <f t="shared" si="2"/>
        <v>Excellent</v>
      </c>
    </row>
    <row r="10" spans="1:14" x14ac:dyDescent="0.3">
      <c r="A10" s="2">
        <v>8</v>
      </c>
      <c r="B10" s="8" t="s">
        <v>27</v>
      </c>
      <c r="C10" s="8" t="s">
        <v>28</v>
      </c>
      <c r="D10" s="7">
        <v>1</v>
      </c>
      <c r="E10" s="7">
        <v>1</v>
      </c>
      <c r="F10" s="7">
        <v>0</v>
      </c>
      <c r="G10" s="7">
        <v>1</v>
      </c>
      <c r="H10" s="7">
        <v>1</v>
      </c>
      <c r="I10" s="7">
        <v>1</v>
      </c>
      <c r="J10" s="7">
        <v>0</v>
      </c>
      <c r="K10" s="11">
        <v>1</v>
      </c>
      <c r="L10" s="5">
        <f t="shared" si="0"/>
        <v>6</v>
      </c>
      <c r="M10" s="5">
        <f t="shared" si="1"/>
        <v>75</v>
      </c>
      <c r="N10" s="7" t="str">
        <f t="shared" si="2"/>
        <v>Very Good</v>
      </c>
    </row>
    <row r="11" spans="1:14" x14ac:dyDescent="0.3">
      <c r="A11" s="2">
        <v>9</v>
      </c>
      <c r="B11" s="8" t="s">
        <v>29</v>
      </c>
      <c r="C11" s="8" t="s">
        <v>30</v>
      </c>
      <c r="D11" s="2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11">
        <v>0</v>
      </c>
      <c r="L11" s="5">
        <f t="shared" si="0"/>
        <v>0</v>
      </c>
      <c r="M11" s="5">
        <f t="shared" si="1"/>
        <v>0</v>
      </c>
      <c r="N11" s="7" t="str">
        <f t="shared" si="2"/>
        <v>Poor</v>
      </c>
    </row>
    <row r="12" spans="1:14" x14ac:dyDescent="0.3">
      <c r="A12" s="2">
        <v>10</v>
      </c>
      <c r="B12" s="8" t="s">
        <v>31</v>
      </c>
      <c r="C12" s="8" t="s">
        <v>32</v>
      </c>
      <c r="D12" s="2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11">
        <v>1</v>
      </c>
      <c r="L12" s="5">
        <f t="shared" si="0"/>
        <v>1</v>
      </c>
      <c r="M12" s="5">
        <f t="shared" si="1"/>
        <v>12.5</v>
      </c>
      <c r="N12" s="7" t="str">
        <f t="shared" si="2"/>
        <v>Poor</v>
      </c>
    </row>
    <row r="13" spans="1:14" x14ac:dyDescent="0.3">
      <c r="A13" s="2">
        <v>11</v>
      </c>
      <c r="B13" s="8" t="s">
        <v>33</v>
      </c>
      <c r="C13" s="8" t="s">
        <v>34</v>
      </c>
      <c r="D13" s="7">
        <v>1</v>
      </c>
      <c r="E13" s="7">
        <v>1</v>
      </c>
      <c r="F13" s="7">
        <v>0</v>
      </c>
      <c r="G13" s="7">
        <v>0</v>
      </c>
      <c r="H13" s="7">
        <v>1</v>
      </c>
      <c r="I13" s="7">
        <v>1</v>
      </c>
      <c r="J13" s="7">
        <v>1</v>
      </c>
      <c r="K13" s="11">
        <v>0</v>
      </c>
      <c r="L13" s="5">
        <f t="shared" si="0"/>
        <v>5</v>
      </c>
      <c r="M13" s="5">
        <f t="shared" si="1"/>
        <v>62.5</v>
      </c>
      <c r="N13" s="7" t="str">
        <f t="shared" si="2"/>
        <v>Good</v>
      </c>
    </row>
    <row r="14" spans="1:14" x14ac:dyDescent="0.3">
      <c r="A14" s="2">
        <v>12</v>
      </c>
      <c r="B14" s="8" t="s">
        <v>35</v>
      </c>
      <c r="C14" s="8" t="s">
        <v>36</v>
      </c>
      <c r="D14" s="7">
        <v>1</v>
      </c>
      <c r="E14" s="7">
        <v>1</v>
      </c>
      <c r="F14" s="7">
        <v>0</v>
      </c>
      <c r="G14" s="7">
        <v>1</v>
      </c>
      <c r="H14" s="7">
        <v>1</v>
      </c>
      <c r="I14" s="7">
        <v>1</v>
      </c>
      <c r="J14" s="7">
        <v>1</v>
      </c>
      <c r="K14" s="11">
        <v>0</v>
      </c>
      <c r="L14" s="5">
        <f t="shared" si="0"/>
        <v>6</v>
      </c>
      <c r="M14" s="5">
        <f t="shared" si="1"/>
        <v>75</v>
      </c>
      <c r="N14" s="7" t="str">
        <f t="shared" si="2"/>
        <v>Very Good</v>
      </c>
    </row>
    <row r="15" spans="1:14" x14ac:dyDescent="0.3">
      <c r="A15" s="2">
        <v>13</v>
      </c>
      <c r="B15" s="8" t="s">
        <v>37</v>
      </c>
      <c r="C15" s="8" t="s">
        <v>38</v>
      </c>
      <c r="D15" s="7">
        <v>1</v>
      </c>
      <c r="E15" s="7">
        <v>1</v>
      </c>
      <c r="F15" s="7">
        <v>0</v>
      </c>
      <c r="G15" s="7">
        <v>1</v>
      </c>
      <c r="H15" s="7">
        <v>1</v>
      </c>
      <c r="I15" s="7">
        <v>1</v>
      </c>
      <c r="J15" s="7">
        <v>0</v>
      </c>
      <c r="K15" s="11">
        <v>1</v>
      </c>
      <c r="L15" s="5">
        <f t="shared" si="0"/>
        <v>6</v>
      </c>
      <c r="M15" s="5">
        <f t="shared" si="1"/>
        <v>75</v>
      </c>
      <c r="N15" s="7" t="str">
        <f t="shared" si="2"/>
        <v>Very Good</v>
      </c>
    </row>
    <row r="16" spans="1:14" x14ac:dyDescent="0.3">
      <c r="A16" s="2">
        <v>14</v>
      </c>
      <c r="B16" s="8" t="s">
        <v>39</v>
      </c>
      <c r="C16" s="8" t="s">
        <v>40</v>
      </c>
      <c r="D16" s="7">
        <v>1</v>
      </c>
      <c r="E16" s="7">
        <v>1</v>
      </c>
      <c r="F16" s="7">
        <v>0</v>
      </c>
      <c r="G16" s="7">
        <v>1</v>
      </c>
      <c r="H16" s="7">
        <v>1</v>
      </c>
      <c r="I16" s="7">
        <v>1</v>
      </c>
      <c r="J16" s="7">
        <v>1</v>
      </c>
      <c r="K16" s="11">
        <v>1</v>
      </c>
      <c r="L16" s="5">
        <f t="shared" si="0"/>
        <v>7</v>
      </c>
      <c r="M16" s="5">
        <f t="shared" si="1"/>
        <v>87.5</v>
      </c>
      <c r="N16" s="7" t="str">
        <f t="shared" si="2"/>
        <v>Excellent</v>
      </c>
    </row>
    <row r="17" spans="1:14" x14ac:dyDescent="0.3">
      <c r="A17" s="2">
        <v>15</v>
      </c>
      <c r="B17" s="8" t="s">
        <v>41</v>
      </c>
      <c r="C17" s="8" t="s">
        <v>42</v>
      </c>
      <c r="D17" s="7">
        <v>1</v>
      </c>
      <c r="E17" s="7">
        <v>1</v>
      </c>
      <c r="F17" s="7">
        <v>0</v>
      </c>
      <c r="G17" s="7">
        <v>1</v>
      </c>
      <c r="H17" s="7">
        <v>1</v>
      </c>
      <c r="I17" s="7">
        <v>1</v>
      </c>
      <c r="J17" s="7">
        <v>0</v>
      </c>
      <c r="K17" s="11">
        <v>1</v>
      </c>
      <c r="L17" s="5">
        <f t="shared" si="0"/>
        <v>6</v>
      </c>
      <c r="M17" s="5">
        <f t="shared" si="1"/>
        <v>75</v>
      </c>
      <c r="N17" s="7" t="str">
        <f t="shared" si="2"/>
        <v>Very Good</v>
      </c>
    </row>
    <row r="18" spans="1:14" x14ac:dyDescent="0.3">
      <c r="A18" s="2">
        <v>16</v>
      </c>
      <c r="B18" s="8" t="s">
        <v>43</v>
      </c>
      <c r="C18" s="8" t="s">
        <v>44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11">
        <v>1</v>
      </c>
      <c r="L18" s="5">
        <f t="shared" si="0"/>
        <v>3</v>
      </c>
      <c r="M18" s="5">
        <f t="shared" si="1"/>
        <v>37.5</v>
      </c>
      <c r="N18" s="7" t="str">
        <f t="shared" si="2"/>
        <v>Poor</v>
      </c>
    </row>
    <row r="19" spans="1:14" x14ac:dyDescent="0.3">
      <c r="A19" s="2">
        <v>17</v>
      </c>
      <c r="B19" s="8" t="s">
        <v>45</v>
      </c>
      <c r="C19" s="8" t="s">
        <v>46</v>
      </c>
      <c r="D19" s="7">
        <v>1</v>
      </c>
      <c r="E19" s="7">
        <v>1</v>
      </c>
      <c r="F19" s="7">
        <v>0</v>
      </c>
      <c r="G19" s="7">
        <v>0</v>
      </c>
      <c r="H19" s="7">
        <v>1</v>
      </c>
      <c r="I19" s="7">
        <v>0</v>
      </c>
      <c r="J19" s="7">
        <v>0</v>
      </c>
      <c r="K19" s="11">
        <v>0</v>
      </c>
      <c r="L19" s="5">
        <f t="shared" si="0"/>
        <v>3</v>
      </c>
      <c r="M19" s="5">
        <f t="shared" si="1"/>
        <v>37.5</v>
      </c>
      <c r="N19" s="7" t="str">
        <f t="shared" si="2"/>
        <v>Poor</v>
      </c>
    </row>
    <row r="20" spans="1:14" x14ac:dyDescent="0.3">
      <c r="A20" s="2">
        <v>18</v>
      </c>
      <c r="B20" s="8" t="s">
        <v>47</v>
      </c>
      <c r="C20" s="8" t="s">
        <v>48</v>
      </c>
      <c r="D20" s="7">
        <v>1</v>
      </c>
      <c r="E20" s="7">
        <v>1</v>
      </c>
      <c r="F20" s="7">
        <v>0</v>
      </c>
      <c r="G20" s="7">
        <v>1</v>
      </c>
      <c r="H20" s="7">
        <v>0</v>
      </c>
      <c r="I20" s="7">
        <v>1</v>
      </c>
      <c r="J20" s="7">
        <v>1</v>
      </c>
      <c r="K20" s="11">
        <v>1</v>
      </c>
      <c r="L20" s="5">
        <f t="shared" si="0"/>
        <v>6</v>
      </c>
      <c r="M20" s="5">
        <f t="shared" si="1"/>
        <v>75</v>
      </c>
      <c r="N20" s="7" t="str">
        <f t="shared" si="2"/>
        <v>Very Good</v>
      </c>
    </row>
    <row r="21" spans="1:14" x14ac:dyDescent="0.3">
      <c r="A21" s="2">
        <v>19</v>
      </c>
      <c r="B21" s="8" t="s">
        <v>49</v>
      </c>
      <c r="C21" s="8" t="s">
        <v>50</v>
      </c>
      <c r="D21" s="7">
        <v>1</v>
      </c>
      <c r="E21" s="7">
        <v>1</v>
      </c>
      <c r="F21" s="7">
        <v>0</v>
      </c>
      <c r="G21" s="7">
        <v>0</v>
      </c>
      <c r="H21" s="7">
        <v>1</v>
      </c>
      <c r="I21" s="7">
        <v>1</v>
      </c>
      <c r="J21" s="7">
        <v>1</v>
      </c>
      <c r="K21" s="11">
        <v>0</v>
      </c>
      <c r="L21" s="5">
        <f t="shared" si="0"/>
        <v>5</v>
      </c>
      <c r="M21" s="5">
        <f t="shared" si="1"/>
        <v>62.5</v>
      </c>
      <c r="N21" s="7" t="str">
        <f t="shared" si="2"/>
        <v>Good</v>
      </c>
    </row>
    <row r="22" spans="1:14" x14ac:dyDescent="0.3">
      <c r="A22" s="2">
        <v>20</v>
      </c>
      <c r="B22" s="8" t="s">
        <v>51</v>
      </c>
      <c r="C22" s="8" t="s">
        <v>52</v>
      </c>
      <c r="D22" s="7">
        <v>1</v>
      </c>
      <c r="E22" s="7">
        <v>1</v>
      </c>
      <c r="F22" s="7">
        <v>0</v>
      </c>
      <c r="G22" s="7">
        <v>1</v>
      </c>
      <c r="H22" s="7">
        <v>1</v>
      </c>
      <c r="I22" s="7">
        <v>1</v>
      </c>
      <c r="J22" s="7">
        <v>1</v>
      </c>
      <c r="K22" s="11">
        <v>1</v>
      </c>
      <c r="L22" s="5">
        <f t="shared" si="0"/>
        <v>7</v>
      </c>
      <c r="M22" s="5">
        <f t="shared" si="1"/>
        <v>87.5</v>
      </c>
      <c r="N22" s="7" t="str">
        <f t="shared" si="2"/>
        <v>Excellent</v>
      </c>
    </row>
    <row r="23" spans="1:14" x14ac:dyDescent="0.3">
      <c r="A23" s="2">
        <v>21</v>
      </c>
      <c r="B23" s="8" t="s">
        <v>53</v>
      </c>
      <c r="C23" s="8" t="s">
        <v>54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0</v>
      </c>
      <c r="K23" s="11">
        <v>1</v>
      </c>
      <c r="L23" s="5">
        <f t="shared" si="0"/>
        <v>7</v>
      </c>
      <c r="M23" s="5">
        <f t="shared" si="1"/>
        <v>87.5</v>
      </c>
      <c r="N23" s="7" t="str">
        <f t="shared" si="2"/>
        <v>Excellent</v>
      </c>
    </row>
    <row r="24" spans="1:14" x14ac:dyDescent="0.3">
      <c r="A24" s="2">
        <v>22</v>
      </c>
      <c r="B24" s="8" t="s">
        <v>55</v>
      </c>
      <c r="C24" s="8" t="s">
        <v>56</v>
      </c>
      <c r="D24" s="7">
        <v>1</v>
      </c>
      <c r="E24" s="7">
        <v>1</v>
      </c>
      <c r="F24" s="7">
        <v>0</v>
      </c>
      <c r="G24" s="7">
        <v>1</v>
      </c>
      <c r="H24" s="7">
        <v>1</v>
      </c>
      <c r="I24" s="7">
        <v>1</v>
      </c>
      <c r="J24" s="7">
        <v>1</v>
      </c>
      <c r="K24" s="11">
        <v>1</v>
      </c>
      <c r="L24" s="5">
        <f t="shared" si="0"/>
        <v>7</v>
      </c>
      <c r="M24" s="5">
        <f t="shared" si="1"/>
        <v>87.5</v>
      </c>
      <c r="N24" s="7" t="str">
        <f t="shared" si="2"/>
        <v>Excellent</v>
      </c>
    </row>
    <row r="25" spans="1:14" x14ac:dyDescent="0.3">
      <c r="A25" s="2">
        <v>23</v>
      </c>
      <c r="B25" s="8" t="s">
        <v>57</v>
      </c>
      <c r="C25" s="8" t="s">
        <v>58</v>
      </c>
      <c r="D25" s="7">
        <v>1</v>
      </c>
      <c r="E25" s="7">
        <v>1</v>
      </c>
      <c r="F25" s="7">
        <v>0</v>
      </c>
      <c r="G25" s="7">
        <v>0</v>
      </c>
      <c r="H25" s="7">
        <v>1</v>
      </c>
      <c r="I25" s="7">
        <v>1</v>
      </c>
      <c r="J25" s="7">
        <v>1</v>
      </c>
      <c r="K25" s="11">
        <v>1</v>
      </c>
      <c r="L25" s="5">
        <f t="shared" si="0"/>
        <v>6</v>
      </c>
      <c r="M25" s="5">
        <f t="shared" si="1"/>
        <v>75</v>
      </c>
      <c r="N25" s="7" t="str">
        <f t="shared" si="2"/>
        <v>Very Good</v>
      </c>
    </row>
    <row r="26" spans="1:14" x14ac:dyDescent="0.3">
      <c r="A26" s="2">
        <v>24</v>
      </c>
      <c r="B26" s="8" t="s">
        <v>59</v>
      </c>
      <c r="C26" s="8" t="s">
        <v>60</v>
      </c>
      <c r="D26" s="7">
        <v>1</v>
      </c>
      <c r="E26" s="7">
        <v>1</v>
      </c>
      <c r="F26" s="7">
        <v>0</v>
      </c>
      <c r="G26" s="7">
        <v>1</v>
      </c>
      <c r="H26" s="7">
        <v>1</v>
      </c>
      <c r="I26" s="7">
        <v>0</v>
      </c>
      <c r="J26" s="7">
        <v>0</v>
      </c>
      <c r="K26" s="11">
        <v>1</v>
      </c>
      <c r="L26" s="5">
        <f t="shared" si="0"/>
        <v>5</v>
      </c>
      <c r="M26" s="5">
        <f t="shared" si="1"/>
        <v>62.5</v>
      </c>
      <c r="N26" s="7" t="str">
        <f t="shared" si="2"/>
        <v>Good</v>
      </c>
    </row>
    <row r="27" spans="1:14" x14ac:dyDescent="0.3">
      <c r="A27" s="2">
        <v>25</v>
      </c>
      <c r="B27" s="8" t="s">
        <v>61</v>
      </c>
      <c r="C27" s="8" t="s">
        <v>62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0</v>
      </c>
      <c r="K27" s="11">
        <v>1</v>
      </c>
      <c r="L27" s="5">
        <f t="shared" si="0"/>
        <v>7</v>
      </c>
      <c r="M27" s="5">
        <f t="shared" si="1"/>
        <v>87.5</v>
      </c>
      <c r="N27" s="7" t="str">
        <f t="shared" si="2"/>
        <v>Excellent</v>
      </c>
    </row>
    <row r="28" spans="1:14" x14ac:dyDescent="0.3">
      <c r="A28" s="2">
        <v>26</v>
      </c>
      <c r="B28" s="8" t="s">
        <v>63</v>
      </c>
      <c r="C28" s="8" t="s">
        <v>64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0</v>
      </c>
      <c r="K28" s="11">
        <v>1</v>
      </c>
      <c r="L28" s="5">
        <f t="shared" si="0"/>
        <v>7</v>
      </c>
      <c r="M28" s="5">
        <f t="shared" si="1"/>
        <v>87.5</v>
      </c>
      <c r="N28" s="7" t="str">
        <f t="shared" si="2"/>
        <v>Excellent</v>
      </c>
    </row>
    <row r="29" spans="1:14" x14ac:dyDescent="0.3">
      <c r="A29" s="2">
        <v>27</v>
      </c>
      <c r="B29" s="8" t="s">
        <v>65</v>
      </c>
      <c r="C29" s="8" t="s">
        <v>66</v>
      </c>
      <c r="D29" s="7">
        <v>1</v>
      </c>
      <c r="E29" s="7">
        <v>1</v>
      </c>
      <c r="F29" s="7">
        <v>0</v>
      </c>
      <c r="G29" s="7">
        <v>1</v>
      </c>
      <c r="H29" s="7">
        <v>1</v>
      </c>
      <c r="I29" s="7">
        <v>1</v>
      </c>
      <c r="J29" s="7">
        <v>1</v>
      </c>
      <c r="K29" s="11">
        <v>1</v>
      </c>
      <c r="L29" s="5">
        <f t="shared" si="0"/>
        <v>7</v>
      </c>
      <c r="M29" s="5">
        <f t="shared" si="1"/>
        <v>87.5</v>
      </c>
      <c r="N29" s="7" t="str">
        <f t="shared" si="2"/>
        <v>Excellent</v>
      </c>
    </row>
    <row r="30" spans="1:14" x14ac:dyDescent="0.3">
      <c r="A30" s="2">
        <v>28</v>
      </c>
      <c r="B30" s="8" t="s">
        <v>67</v>
      </c>
      <c r="C30" s="8" t="s">
        <v>68</v>
      </c>
      <c r="D30" s="2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11">
        <v>0</v>
      </c>
      <c r="L30" s="5">
        <f t="shared" si="0"/>
        <v>0</v>
      </c>
      <c r="M30" s="5">
        <f t="shared" si="1"/>
        <v>0</v>
      </c>
      <c r="N30" s="7" t="str">
        <f t="shared" si="2"/>
        <v>Poor</v>
      </c>
    </row>
    <row r="31" spans="1:14" x14ac:dyDescent="0.3">
      <c r="A31" s="2">
        <v>29</v>
      </c>
      <c r="B31" s="8" t="s">
        <v>69</v>
      </c>
      <c r="C31" s="8" t="s">
        <v>70</v>
      </c>
      <c r="D31" s="7">
        <v>1</v>
      </c>
      <c r="E31" s="7">
        <v>1</v>
      </c>
      <c r="F31" s="7">
        <v>0</v>
      </c>
      <c r="G31" s="7">
        <v>1</v>
      </c>
      <c r="H31" s="7">
        <v>1</v>
      </c>
      <c r="I31" s="7">
        <v>0</v>
      </c>
      <c r="J31" s="7">
        <v>0</v>
      </c>
      <c r="K31" s="11">
        <v>1</v>
      </c>
      <c r="L31" s="5">
        <f t="shared" si="0"/>
        <v>5</v>
      </c>
      <c r="M31" s="5">
        <f t="shared" si="1"/>
        <v>62.5</v>
      </c>
      <c r="N31" s="7" t="str">
        <f t="shared" si="2"/>
        <v>Good</v>
      </c>
    </row>
    <row r="32" spans="1:14" x14ac:dyDescent="0.3">
      <c r="A32" s="2">
        <v>30</v>
      </c>
      <c r="B32" s="8" t="s">
        <v>71</v>
      </c>
      <c r="C32" s="8" t="s">
        <v>72</v>
      </c>
      <c r="D32" s="7">
        <v>1</v>
      </c>
      <c r="E32" s="7">
        <v>1</v>
      </c>
      <c r="F32" s="7">
        <v>0</v>
      </c>
      <c r="G32" s="7">
        <v>1</v>
      </c>
      <c r="H32" s="7">
        <v>1</v>
      </c>
      <c r="I32" s="7">
        <v>1</v>
      </c>
      <c r="J32" s="7">
        <v>1</v>
      </c>
      <c r="K32" s="11">
        <v>1</v>
      </c>
      <c r="L32" s="5">
        <f t="shared" si="0"/>
        <v>7</v>
      </c>
      <c r="M32" s="5">
        <f t="shared" si="1"/>
        <v>87.5</v>
      </c>
      <c r="N32" s="7" t="str">
        <f t="shared" si="2"/>
        <v>Excellent</v>
      </c>
    </row>
    <row r="33" spans="1:14" x14ac:dyDescent="0.3">
      <c r="A33" s="2">
        <v>31</v>
      </c>
      <c r="B33" s="8" t="s">
        <v>73</v>
      </c>
      <c r="C33" s="8" t="s">
        <v>74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0</v>
      </c>
      <c r="K33" s="11">
        <v>1</v>
      </c>
      <c r="L33" s="5">
        <f t="shared" si="0"/>
        <v>7</v>
      </c>
      <c r="M33" s="5">
        <f t="shared" si="1"/>
        <v>87.5</v>
      </c>
      <c r="N33" s="7" t="str">
        <f t="shared" si="2"/>
        <v>Excellent</v>
      </c>
    </row>
    <row r="34" spans="1:14" x14ac:dyDescent="0.3">
      <c r="A34" s="2">
        <v>32</v>
      </c>
      <c r="B34" s="8" t="s">
        <v>75</v>
      </c>
      <c r="C34" s="8" t="s">
        <v>76</v>
      </c>
      <c r="D34" s="2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11">
        <v>1</v>
      </c>
      <c r="L34" s="5">
        <f t="shared" si="0"/>
        <v>1</v>
      </c>
      <c r="M34" s="5">
        <f t="shared" si="1"/>
        <v>12.5</v>
      </c>
      <c r="N34" s="7" t="str">
        <f t="shared" si="2"/>
        <v>Poor</v>
      </c>
    </row>
    <row r="35" spans="1:14" x14ac:dyDescent="0.3">
      <c r="A35" s="2">
        <v>33</v>
      </c>
      <c r="B35" s="8" t="s">
        <v>77</v>
      </c>
      <c r="C35" s="8" t="s">
        <v>78</v>
      </c>
      <c r="D35" s="7">
        <v>1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11">
        <v>1</v>
      </c>
      <c r="L35" s="5">
        <f t="shared" si="0"/>
        <v>3</v>
      </c>
      <c r="M35" s="5">
        <f t="shared" si="1"/>
        <v>37.5</v>
      </c>
      <c r="N35" s="7" t="str">
        <f t="shared" si="2"/>
        <v>Poor</v>
      </c>
    </row>
    <row r="36" spans="1:14" x14ac:dyDescent="0.3">
      <c r="A36" s="2">
        <v>34</v>
      </c>
      <c r="B36" s="8" t="s">
        <v>79</v>
      </c>
      <c r="C36" s="8" t="s">
        <v>80</v>
      </c>
      <c r="D36" s="7">
        <v>1</v>
      </c>
      <c r="E36" s="7">
        <v>1</v>
      </c>
      <c r="F36" s="7">
        <v>0</v>
      </c>
      <c r="G36" s="7">
        <v>0</v>
      </c>
      <c r="H36" s="7">
        <v>1</v>
      </c>
      <c r="I36" s="7">
        <v>0</v>
      </c>
      <c r="J36" s="7">
        <v>1</v>
      </c>
      <c r="K36" s="11">
        <v>1</v>
      </c>
      <c r="L36" s="5">
        <f t="shared" si="0"/>
        <v>5</v>
      </c>
      <c r="M36" s="5">
        <f t="shared" si="1"/>
        <v>62.5</v>
      </c>
      <c r="N36" s="7" t="str">
        <f t="shared" si="2"/>
        <v>Good</v>
      </c>
    </row>
    <row r="37" spans="1:14" x14ac:dyDescent="0.3">
      <c r="A37" s="2">
        <v>35</v>
      </c>
      <c r="B37" s="8" t="s">
        <v>81</v>
      </c>
      <c r="C37" s="8" t="s">
        <v>82</v>
      </c>
      <c r="D37" s="7">
        <v>1</v>
      </c>
      <c r="E37" s="7">
        <v>1</v>
      </c>
      <c r="F37" s="7">
        <v>0</v>
      </c>
      <c r="G37" s="7">
        <v>1</v>
      </c>
      <c r="H37" s="7">
        <v>1</v>
      </c>
      <c r="I37" s="7">
        <v>1</v>
      </c>
      <c r="J37" s="7">
        <v>0</v>
      </c>
      <c r="K37" s="11">
        <v>1</v>
      </c>
      <c r="L37" s="5">
        <f t="shared" si="0"/>
        <v>6</v>
      </c>
      <c r="M37" s="5">
        <f t="shared" si="1"/>
        <v>75</v>
      </c>
      <c r="N37" s="7" t="str">
        <f t="shared" si="2"/>
        <v>Very Good</v>
      </c>
    </row>
    <row r="38" spans="1:14" x14ac:dyDescent="0.3">
      <c r="A38" s="2">
        <v>36</v>
      </c>
      <c r="B38" s="8" t="s">
        <v>83</v>
      </c>
      <c r="C38" s="8" t="s">
        <v>84</v>
      </c>
      <c r="D38" s="7">
        <v>1</v>
      </c>
      <c r="E38" s="7">
        <v>1</v>
      </c>
      <c r="F38" s="7">
        <v>0</v>
      </c>
      <c r="G38" s="7">
        <v>1</v>
      </c>
      <c r="H38" s="7">
        <v>1</v>
      </c>
      <c r="I38" s="7">
        <v>1</v>
      </c>
      <c r="J38" s="7">
        <v>0</v>
      </c>
      <c r="K38" s="11">
        <v>0</v>
      </c>
      <c r="L38" s="5">
        <f t="shared" si="0"/>
        <v>5</v>
      </c>
      <c r="M38" s="5">
        <f t="shared" si="1"/>
        <v>62.5</v>
      </c>
      <c r="N38" s="7" t="str">
        <f t="shared" si="2"/>
        <v>Good</v>
      </c>
    </row>
    <row r="39" spans="1:14" x14ac:dyDescent="0.3">
      <c r="A39" s="2">
        <v>37</v>
      </c>
      <c r="B39" s="8" t="s">
        <v>85</v>
      </c>
      <c r="C39" s="8" t="s">
        <v>86</v>
      </c>
      <c r="D39" s="7">
        <v>1</v>
      </c>
      <c r="E39" s="7">
        <v>1</v>
      </c>
      <c r="F39" s="7">
        <v>0</v>
      </c>
      <c r="G39" s="7">
        <v>1</v>
      </c>
      <c r="H39" s="7">
        <v>0</v>
      </c>
      <c r="I39" s="7">
        <v>1</v>
      </c>
      <c r="J39" s="7">
        <v>1</v>
      </c>
      <c r="K39" s="11">
        <v>1</v>
      </c>
      <c r="L39" s="5">
        <f t="shared" si="0"/>
        <v>6</v>
      </c>
      <c r="M39" s="5">
        <f t="shared" si="1"/>
        <v>75</v>
      </c>
      <c r="N39" s="7" t="str">
        <f t="shared" si="2"/>
        <v>Very Good</v>
      </c>
    </row>
    <row r="40" spans="1:14" x14ac:dyDescent="0.3">
      <c r="A40" s="2">
        <v>38</v>
      </c>
      <c r="B40" s="8" t="s">
        <v>87</v>
      </c>
      <c r="C40" s="8" t="s">
        <v>88</v>
      </c>
      <c r="D40" s="2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11">
        <v>0</v>
      </c>
      <c r="L40" s="5">
        <f t="shared" si="0"/>
        <v>0</v>
      </c>
      <c r="M40" s="5">
        <f t="shared" si="1"/>
        <v>0</v>
      </c>
      <c r="N40" s="7" t="str">
        <f t="shared" si="2"/>
        <v>Poor</v>
      </c>
    </row>
    <row r="41" spans="1:14" x14ac:dyDescent="0.3">
      <c r="A41" s="2">
        <v>39</v>
      </c>
      <c r="B41" s="8" t="s">
        <v>89</v>
      </c>
      <c r="C41" s="8" t="s">
        <v>90</v>
      </c>
      <c r="D41" s="7">
        <v>1</v>
      </c>
      <c r="E41" s="7">
        <v>1</v>
      </c>
      <c r="F41" s="7">
        <v>0</v>
      </c>
      <c r="G41" s="7">
        <v>0</v>
      </c>
      <c r="H41" s="7">
        <v>1</v>
      </c>
      <c r="I41" s="7">
        <v>1</v>
      </c>
      <c r="J41" s="7">
        <v>1</v>
      </c>
      <c r="K41" s="11">
        <v>1</v>
      </c>
      <c r="L41" s="5">
        <f t="shared" si="0"/>
        <v>6</v>
      </c>
      <c r="M41" s="5">
        <f t="shared" si="1"/>
        <v>75</v>
      </c>
      <c r="N41" s="7" t="str">
        <f t="shared" si="2"/>
        <v>Very Good</v>
      </c>
    </row>
    <row r="42" spans="1:14" x14ac:dyDescent="0.3">
      <c r="A42" s="2">
        <v>40</v>
      </c>
      <c r="B42" s="8" t="s">
        <v>91</v>
      </c>
      <c r="C42" s="8" t="s">
        <v>92</v>
      </c>
      <c r="D42" s="7">
        <v>1</v>
      </c>
      <c r="E42" s="7">
        <v>1</v>
      </c>
      <c r="F42" s="7">
        <v>0</v>
      </c>
      <c r="G42" s="7">
        <v>1</v>
      </c>
      <c r="H42" s="7">
        <v>1</v>
      </c>
      <c r="I42" s="7">
        <v>0</v>
      </c>
      <c r="J42" s="7">
        <v>0</v>
      </c>
      <c r="K42" s="11">
        <v>1</v>
      </c>
      <c r="L42" s="5">
        <f t="shared" si="0"/>
        <v>5</v>
      </c>
      <c r="M42" s="5">
        <f t="shared" si="1"/>
        <v>62.5</v>
      </c>
      <c r="N42" s="7" t="str">
        <f t="shared" si="2"/>
        <v>Good</v>
      </c>
    </row>
    <row r="43" spans="1:14" x14ac:dyDescent="0.3">
      <c r="A43" s="2">
        <v>41</v>
      </c>
      <c r="B43" s="8" t="s">
        <v>93</v>
      </c>
      <c r="C43" s="8" t="s">
        <v>94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7">
        <v>1</v>
      </c>
      <c r="J43" s="7">
        <v>0</v>
      </c>
      <c r="K43" s="11">
        <v>1</v>
      </c>
      <c r="L43" s="5">
        <f t="shared" si="0"/>
        <v>6</v>
      </c>
      <c r="M43" s="5">
        <f t="shared" si="1"/>
        <v>75</v>
      </c>
      <c r="N43" s="7" t="str">
        <f t="shared" si="2"/>
        <v>Very Good</v>
      </c>
    </row>
    <row r="44" spans="1:14" x14ac:dyDescent="0.3">
      <c r="A44" s="2">
        <v>42</v>
      </c>
      <c r="B44" s="8" t="s">
        <v>95</v>
      </c>
      <c r="C44" s="8" t="s">
        <v>96</v>
      </c>
      <c r="D44" s="7">
        <v>1</v>
      </c>
      <c r="E44" s="7">
        <v>1</v>
      </c>
      <c r="F44" s="7">
        <v>0</v>
      </c>
      <c r="G44" s="7">
        <v>1</v>
      </c>
      <c r="H44" s="7">
        <v>1</v>
      </c>
      <c r="I44" s="7">
        <v>1</v>
      </c>
      <c r="J44" s="7">
        <v>1</v>
      </c>
      <c r="K44" s="11">
        <v>1</v>
      </c>
      <c r="L44" s="5">
        <f t="shared" si="0"/>
        <v>7</v>
      </c>
      <c r="M44" s="5">
        <f t="shared" si="1"/>
        <v>87.5</v>
      </c>
      <c r="N44" s="7" t="str">
        <f t="shared" si="2"/>
        <v>Excellent</v>
      </c>
    </row>
    <row r="45" spans="1:14" x14ac:dyDescent="0.3">
      <c r="A45" s="2">
        <v>43</v>
      </c>
      <c r="B45" s="8" t="s">
        <v>97</v>
      </c>
      <c r="C45" s="8" t="s">
        <v>98</v>
      </c>
      <c r="D45" s="2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11">
        <v>0</v>
      </c>
      <c r="L45" s="5">
        <f t="shared" si="0"/>
        <v>0</v>
      </c>
      <c r="M45" s="5">
        <f t="shared" si="1"/>
        <v>0</v>
      </c>
      <c r="N45" s="7" t="str">
        <f t="shared" si="2"/>
        <v>Poor</v>
      </c>
    </row>
    <row r="46" spans="1:14" x14ac:dyDescent="0.3">
      <c r="A46" s="2">
        <v>44</v>
      </c>
      <c r="B46" s="8" t="s">
        <v>99</v>
      </c>
      <c r="C46" s="8" t="s">
        <v>100</v>
      </c>
      <c r="D46" s="7">
        <v>1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1">
        <v>0</v>
      </c>
      <c r="L46" s="5">
        <f t="shared" si="0"/>
        <v>2</v>
      </c>
      <c r="M46" s="5">
        <f t="shared" si="1"/>
        <v>25</v>
      </c>
      <c r="N46" s="7" t="str">
        <f t="shared" si="2"/>
        <v>Poor</v>
      </c>
    </row>
    <row r="47" spans="1:14" x14ac:dyDescent="0.3">
      <c r="A47" s="2">
        <v>45</v>
      </c>
      <c r="B47" s="8" t="s">
        <v>101</v>
      </c>
      <c r="C47" s="8" t="s">
        <v>102</v>
      </c>
      <c r="D47" s="2">
        <v>0</v>
      </c>
      <c r="E47" s="7">
        <v>1</v>
      </c>
      <c r="F47" s="7">
        <v>0</v>
      </c>
      <c r="G47" s="7">
        <v>1</v>
      </c>
      <c r="H47" s="7">
        <v>0</v>
      </c>
      <c r="I47" s="7">
        <v>0</v>
      </c>
      <c r="J47" s="7">
        <v>0</v>
      </c>
      <c r="K47" s="11">
        <v>0</v>
      </c>
      <c r="L47" s="5">
        <f t="shared" si="0"/>
        <v>2</v>
      </c>
      <c r="M47" s="5">
        <f t="shared" si="1"/>
        <v>25</v>
      </c>
      <c r="N47" s="7" t="str">
        <f t="shared" si="2"/>
        <v>Poor</v>
      </c>
    </row>
    <row r="48" spans="1:14" x14ac:dyDescent="0.3">
      <c r="A48" s="2">
        <v>46</v>
      </c>
      <c r="B48" s="8" t="s">
        <v>103</v>
      </c>
      <c r="C48" s="8" t="s">
        <v>104</v>
      </c>
      <c r="D48" s="2">
        <v>0</v>
      </c>
      <c r="E48" s="7">
        <v>1</v>
      </c>
      <c r="F48" s="7">
        <v>0</v>
      </c>
      <c r="G48" s="7">
        <v>0</v>
      </c>
      <c r="H48" s="7">
        <v>1</v>
      </c>
      <c r="I48" s="7">
        <v>1</v>
      </c>
      <c r="J48" s="7">
        <v>1</v>
      </c>
      <c r="K48" s="11">
        <v>1</v>
      </c>
      <c r="L48" s="5">
        <f t="shared" si="0"/>
        <v>5</v>
      </c>
      <c r="M48" s="5">
        <f t="shared" si="1"/>
        <v>62.5</v>
      </c>
      <c r="N48" s="7" t="str">
        <f t="shared" si="2"/>
        <v>Good</v>
      </c>
    </row>
    <row r="49" spans="1:14" x14ac:dyDescent="0.3">
      <c r="A49" s="2">
        <v>47</v>
      </c>
      <c r="B49" s="8" t="s">
        <v>105</v>
      </c>
      <c r="C49" s="8" t="s">
        <v>106</v>
      </c>
      <c r="D49" s="7">
        <v>1</v>
      </c>
      <c r="E49" s="7">
        <v>1</v>
      </c>
      <c r="F49" s="7">
        <v>0</v>
      </c>
      <c r="G49" s="7">
        <v>1</v>
      </c>
      <c r="H49" s="7">
        <v>0</v>
      </c>
      <c r="I49" s="7">
        <v>1</v>
      </c>
      <c r="J49" s="7">
        <v>0</v>
      </c>
      <c r="K49" s="11">
        <v>0</v>
      </c>
      <c r="L49" s="5">
        <f t="shared" si="0"/>
        <v>4</v>
      </c>
      <c r="M49" s="5">
        <f t="shared" si="1"/>
        <v>50</v>
      </c>
      <c r="N49" s="7" t="str">
        <f t="shared" si="2"/>
        <v>Fair</v>
      </c>
    </row>
    <row r="50" spans="1:14" x14ac:dyDescent="0.3">
      <c r="A50" s="2">
        <v>48</v>
      </c>
      <c r="B50" s="8" t="s">
        <v>107</v>
      </c>
      <c r="C50" s="8" t="s">
        <v>108</v>
      </c>
      <c r="D50" s="7">
        <v>1</v>
      </c>
      <c r="E50" s="7">
        <v>1</v>
      </c>
      <c r="F50" s="7">
        <v>0</v>
      </c>
      <c r="G50" s="7">
        <v>1</v>
      </c>
      <c r="H50" s="7">
        <v>1</v>
      </c>
      <c r="I50" s="7">
        <v>1</v>
      </c>
      <c r="J50" s="7">
        <v>0</v>
      </c>
      <c r="K50" s="11">
        <v>1</v>
      </c>
      <c r="L50" s="5">
        <f t="shared" si="0"/>
        <v>6</v>
      </c>
      <c r="M50" s="5">
        <f t="shared" si="1"/>
        <v>75</v>
      </c>
      <c r="N50" s="7" t="str">
        <f t="shared" si="2"/>
        <v>Very Good</v>
      </c>
    </row>
    <row r="51" spans="1:14" x14ac:dyDescent="0.3">
      <c r="A51" s="2">
        <v>49</v>
      </c>
      <c r="B51" s="8" t="s">
        <v>109</v>
      </c>
      <c r="C51" s="8" t="s">
        <v>110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0</v>
      </c>
      <c r="K51" s="11">
        <v>1</v>
      </c>
      <c r="L51" s="5">
        <f t="shared" si="0"/>
        <v>7</v>
      </c>
      <c r="M51" s="5">
        <f t="shared" si="1"/>
        <v>87.5</v>
      </c>
      <c r="N51" s="7" t="str">
        <f t="shared" si="2"/>
        <v>Excellent</v>
      </c>
    </row>
    <row r="52" spans="1:14" x14ac:dyDescent="0.3">
      <c r="A52" s="2">
        <v>50</v>
      </c>
      <c r="B52" s="8" t="s">
        <v>111</v>
      </c>
      <c r="C52" s="8" t="s">
        <v>112</v>
      </c>
      <c r="D52" s="7">
        <v>1</v>
      </c>
      <c r="E52" s="7">
        <v>1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11">
        <v>0</v>
      </c>
      <c r="L52" s="5">
        <f t="shared" si="0"/>
        <v>3</v>
      </c>
      <c r="M52" s="5">
        <f t="shared" si="1"/>
        <v>37.5</v>
      </c>
      <c r="N52" s="7" t="str">
        <f t="shared" si="2"/>
        <v>Poor</v>
      </c>
    </row>
    <row r="53" spans="1:14" x14ac:dyDescent="0.3">
      <c r="A53" s="2">
        <v>51</v>
      </c>
      <c r="B53" s="8" t="s">
        <v>113</v>
      </c>
      <c r="C53" s="8" t="s">
        <v>114</v>
      </c>
      <c r="D53" s="7">
        <v>1</v>
      </c>
      <c r="E53" s="7">
        <v>1</v>
      </c>
      <c r="F53" s="7">
        <v>0</v>
      </c>
      <c r="G53" s="7">
        <v>0</v>
      </c>
      <c r="H53" s="7">
        <v>1</v>
      </c>
      <c r="I53" s="7">
        <v>1</v>
      </c>
      <c r="J53" s="7">
        <v>1</v>
      </c>
      <c r="K53" s="11">
        <v>1</v>
      </c>
      <c r="L53" s="5">
        <f t="shared" si="0"/>
        <v>6</v>
      </c>
      <c r="M53" s="5">
        <f t="shared" si="1"/>
        <v>75</v>
      </c>
      <c r="N53" s="7" t="str">
        <f t="shared" si="2"/>
        <v>Very Good</v>
      </c>
    </row>
    <row r="54" spans="1:14" x14ac:dyDescent="0.3">
      <c r="A54" s="2">
        <v>52</v>
      </c>
      <c r="B54" s="8" t="s">
        <v>115</v>
      </c>
      <c r="C54" s="8" t="s">
        <v>116</v>
      </c>
      <c r="D54" s="7">
        <v>1</v>
      </c>
      <c r="E54" s="7">
        <v>1</v>
      </c>
      <c r="F54" s="7">
        <v>0</v>
      </c>
      <c r="G54" s="7">
        <v>1</v>
      </c>
      <c r="H54" s="7">
        <v>1</v>
      </c>
      <c r="I54" s="7">
        <v>0</v>
      </c>
      <c r="J54" s="7">
        <v>0</v>
      </c>
      <c r="K54" s="11">
        <v>1</v>
      </c>
      <c r="L54" s="5">
        <f t="shared" si="0"/>
        <v>5</v>
      </c>
      <c r="M54" s="5">
        <f t="shared" si="1"/>
        <v>62.5</v>
      </c>
      <c r="N54" s="7" t="str">
        <f t="shared" si="2"/>
        <v>Good</v>
      </c>
    </row>
    <row r="55" spans="1:14" x14ac:dyDescent="0.3">
      <c r="A55" s="2">
        <v>53</v>
      </c>
      <c r="B55" s="8" t="s">
        <v>117</v>
      </c>
      <c r="C55" s="8" t="s">
        <v>118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11">
        <v>1</v>
      </c>
      <c r="L55" s="5">
        <f t="shared" si="0"/>
        <v>8</v>
      </c>
      <c r="M55" s="5">
        <f t="shared" si="1"/>
        <v>100</v>
      </c>
      <c r="N55" s="7" t="str">
        <f t="shared" si="2"/>
        <v>Excellent</v>
      </c>
    </row>
    <row r="56" spans="1:14" x14ac:dyDescent="0.3">
      <c r="A56" s="2">
        <v>54</v>
      </c>
      <c r="B56" s="8" t="s">
        <v>119</v>
      </c>
      <c r="C56" s="8" t="s">
        <v>120</v>
      </c>
      <c r="D56" s="7">
        <v>1</v>
      </c>
      <c r="E56" s="7">
        <v>0</v>
      </c>
      <c r="F56" s="7">
        <v>0</v>
      </c>
      <c r="G56" s="7">
        <v>1</v>
      </c>
      <c r="H56" s="7">
        <v>1</v>
      </c>
      <c r="I56" s="7">
        <v>1</v>
      </c>
      <c r="J56" s="7">
        <v>1</v>
      </c>
      <c r="K56" s="11">
        <v>1</v>
      </c>
      <c r="L56" s="5">
        <f t="shared" si="0"/>
        <v>6</v>
      </c>
      <c r="M56" s="5">
        <f t="shared" si="1"/>
        <v>75</v>
      </c>
      <c r="N56" s="7" t="str">
        <f t="shared" si="2"/>
        <v>Very Good</v>
      </c>
    </row>
    <row r="57" spans="1:14" x14ac:dyDescent="0.3">
      <c r="A57" s="2">
        <v>55</v>
      </c>
      <c r="B57" s="8" t="s">
        <v>121</v>
      </c>
      <c r="C57" s="8" t="s">
        <v>122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0</v>
      </c>
      <c r="K57" s="11">
        <v>1</v>
      </c>
      <c r="L57" s="5">
        <f t="shared" si="0"/>
        <v>7</v>
      </c>
      <c r="M57" s="5">
        <f t="shared" si="1"/>
        <v>87.5</v>
      </c>
      <c r="N57" s="7" t="str">
        <f t="shared" si="2"/>
        <v>Excellent</v>
      </c>
    </row>
    <row r="58" spans="1:14" x14ac:dyDescent="0.3">
      <c r="A58" s="2">
        <v>56</v>
      </c>
      <c r="B58" s="8" t="s">
        <v>123</v>
      </c>
      <c r="C58" s="8" t="s">
        <v>124</v>
      </c>
      <c r="D58" s="7">
        <v>1</v>
      </c>
      <c r="E58" s="7">
        <v>0</v>
      </c>
      <c r="F58" s="7">
        <v>0</v>
      </c>
      <c r="G58" s="7">
        <v>1</v>
      </c>
      <c r="H58" s="7">
        <v>1</v>
      </c>
      <c r="I58" s="7">
        <v>1</v>
      </c>
      <c r="J58" s="7">
        <v>0</v>
      </c>
      <c r="K58" s="11">
        <v>1</v>
      </c>
      <c r="L58" s="5">
        <f t="shared" si="0"/>
        <v>5</v>
      </c>
      <c r="M58" s="5">
        <f t="shared" si="1"/>
        <v>62.5</v>
      </c>
      <c r="N58" s="7" t="str">
        <f t="shared" si="2"/>
        <v>Good</v>
      </c>
    </row>
    <row r="59" spans="1:14" x14ac:dyDescent="0.3">
      <c r="A59" s="2">
        <v>57</v>
      </c>
      <c r="B59" s="8" t="s">
        <v>125</v>
      </c>
      <c r="C59" s="8" t="s">
        <v>126</v>
      </c>
      <c r="D59" s="7">
        <v>1</v>
      </c>
      <c r="E59" s="7">
        <v>1</v>
      </c>
      <c r="F59" s="7">
        <v>0</v>
      </c>
      <c r="G59" s="7">
        <v>1</v>
      </c>
      <c r="H59" s="7">
        <v>0</v>
      </c>
      <c r="I59" s="7">
        <v>1</v>
      </c>
      <c r="J59" s="7">
        <v>0</v>
      </c>
      <c r="K59" s="11">
        <v>1</v>
      </c>
      <c r="L59" s="5">
        <f t="shared" si="0"/>
        <v>5</v>
      </c>
      <c r="M59" s="5">
        <f t="shared" si="1"/>
        <v>62.5</v>
      </c>
      <c r="N59" s="7" t="str">
        <f t="shared" si="2"/>
        <v>Good</v>
      </c>
    </row>
    <row r="60" spans="1:14" x14ac:dyDescent="0.3">
      <c r="A60" s="2">
        <v>58</v>
      </c>
      <c r="B60" s="8" t="s">
        <v>127</v>
      </c>
      <c r="C60" s="8" t="s">
        <v>128</v>
      </c>
      <c r="D60" s="7">
        <v>1</v>
      </c>
      <c r="E60" s="7">
        <v>1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11">
        <v>0</v>
      </c>
      <c r="L60" s="5">
        <f t="shared" si="0"/>
        <v>3</v>
      </c>
      <c r="M60" s="5">
        <f t="shared" si="1"/>
        <v>37.5</v>
      </c>
      <c r="N60" s="7" t="str">
        <f t="shared" si="2"/>
        <v>Poor</v>
      </c>
    </row>
    <row r="61" spans="1:14" x14ac:dyDescent="0.3">
      <c r="A61" s="2">
        <v>59</v>
      </c>
      <c r="B61" s="8" t="s">
        <v>129</v>
      </c>
      <c r="C61" s="8" t="s">
        <v>130</v>
      </c>
      <c r="D61" s="7">
        <v>1</v>
      </c>
      <c r="E61" s="7">
        <v>0</v>
      </c>
      <c r="F61" s="7">
        <v>0</v>
      </c>
      <c r="G61" s="7">
        <v>0</v>
      </c>
      <c r="H61" s="7">
        <v>1</v>
      </c>
      <c r="I61" s="7">
        <v>0</v>
      </c>
      <c r="J61" s="7">
        <v>0</v>
      </c>
      <c r="K61" s="11">
        <v>0</v>
      </c>
      <c r="L61" s="5">
        <f t="shared" si="0"/>
        <v>2</v>
      </c>
      <c r="M61" s="5">
        <f t="shared" si="1"/>
        <v>25</v>
      </c>
      <c r="N61" s="7" t="str">
        <f t="shared" si="2"/>
        <v>Poor</v>
      </c>
    </row>
    <row r="62" spans="1:14" x14ac:dyDescent="0.3">
      <c r="A62" s="2">
        <v>60</v>
      </c>
      <c r="B62" s="8" t="s">
        <v>131</v>
      </c>
      <c r="C62" s="8" t="s">
        <v>132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0</v>
      </c>
      <c r="K62" s="11">
        <v>1</v>
      </c>
      <c r="L62" s="5">
        <f t="shared" si="0"/>
        <v>7</v>
      </c>
      <c r="M62" s="5">
        <f t="shared" si="1"/>
        <v>87.5</v>
      </c>
      <c r="N62" s="7" t="str">
        <f t="shared" si="2"/>
        <v>Excellent</v>
      </c>
    </row>
    <row r="63" spans="1:14" x14ac:dyDescent="0.3">
      <c r="A63" s="2">
        <v>61</v>
      </c>
      <c r="B63" s="8" t="s">
        <v>133</v>
      </c>
      <c r="C63" s="8" t="s">
        <v>134</v>
      </c>
      <c r="D63" s="7">
        <v>1</v>
      </c>
      <c r="E63" s="7">
        <v>1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11">
        <v>0</v>
      </c>
      <c r="L63" s="5">
        <f t="shared" si="0"/>
        <v>3</v>
      </c>
      <c r="M63" s="5">
        <f t="shared" si="1"/>
        <v>37.5</v>
      </c>
      <c r="N63" s="7" t="str">
        <f t="shared" si="2"/>
        <v>Poor</v>
      </c>
    </row>
    <row r="64" spans="1:14" x14ac:dyDescent="0.3">
      <c r="A64" s="2">
        <v>62</v>
      </c>
      <c r="B64" s="8" t="s">
        <v>135</v>
      </c>
      <c r="C64" s="8" t="s">
        <v>136</v>
      </c>
      <c r="D64" s="2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11">
        <v>0</v>
      </c>
      <c r="L64" s="5">
        <f t="shared" si="0"/>
        <v>0</v>
      </c>
      <c r="M64" s="5">
        <f t="shared" si="1"/>
        <v>0</v>
      </c>
      <c r="N64" s="7" t="str">
        <f t="shared" si="2"/>
        <v>Poor</v>
      </c>
    </row>
    <row r="65" spans="1:15" x14ac:dyDescent="0.3">
      <c r="A65" s="2">
        <v>63</v>
      </c>
      <c r="B65" s="8" t="s">
        <v>137</v>
      </c>
      <c r="C65" s="8" t="s">
        <v>138</v>
      </c>
      <c r="D65" s="7">
        <v>1</v>
      </c>
      <c r="E65" s="7">
        <v>1</v>
      </c>
      <c r="F65" s="7">
        <v>0</v>
      </c>
      <c r="G65" s="7">
        <v>0</v>
      </c>
      <c r="H65" s="7">
        <v>0</v>
      </c>
      <c r="I65" s="7">
        <v>1</v>
      </c>
      <c r="J65" s="7">
        <v>0</v>
      </c>
      <c r="K65" s="11">
        <v>1</v>
      </c>
      <c r="L65" s="5">
        <f t="shared" si="0"/>
        <v>4</v>
      </c>
      <c r="M65" s="5">
        <f t="shared" si="1"/>
        <v>50</v>
      </c>
      <c r="N65" s="7" t="str">
        <f t="shared" si="2"/>
        <v>Fair</v>
      </c>
    </row>
    <row r="66" spans="1:15" x14ac:dyDescent="0.3">
      <c r="A66" s="2">
        <v>64</v>
      </c>
      <c r="B66" s="8" t="s">
        <v>139</v>
      </c>
      <c r="C66" s="8" t="s">
        <v>140</v>
      </c>
      <c r="D66" s="7">
        <v>1</v>
      </c>
      <c r="E66" s="7">
        <v>1</v>
      </c>
      <c r="F66" s="7">
        <v>0</v>
      </c>
      <c r="G66" s="7">
        <v>1</v>
      </c>
      <c r="H66" s="7">
        <v>1</v>
      </c>
      <c r="I66" s="7">
        <v>0</v>
      </c>
      <c r="J66" s="7">
        <v>0</v>
      </c>
      <c r="K66" s="11">
        <v>1</v>
      </c>
      <c r="L66" s="5">
        <f t="shared" si="0"/>
        <v>5</v>
      </c>
      <c r="M66" s="5">
        <f t="shared" si="1"/>
        <v>62.5</v>
      </c>
      <c r="N66" s="7" t="str">
        <f t="shared" si="2"/>
        <v>Good</v>
      </c>
    </row>
    <row r="67" spans="1:15" x14ac:dyDescent="0.3">
      <c r="A67" s="2">
        <v>65</v>
      </c>
      <c r="B67" s="8" t="s">
        <v>141</v>
      </c>
      <c r="C67" s="8" t="s">
        <v>142</v>
      </c>
      <c r="D67" s="7">
        <v>1</v>
      </c>
      <c r="E67" s="7">
        <v>1</v>
      </c>
      <c r="F67" s="7">
        <v>0</v>
      </c>
      <c r="G67" s="7">
        <v>1</v>
      </c>
      <c r="H67" s="7">
        <v>0</v>
      </c>
      <c r="I67" s="7">
        <v>1</v>
      </c>
      <c r="J67" s="7">
        <v>0</v>
      </c>
      <c r="K67" s="11">
        <v>1</v>
      </c>
      <c r="L67" s="5">
        <f t="shared" si="0"/>
        <v>5</v>
      </c>
      <c r="M67" s="5">
        <f t="shared" si="1"/>
        <v>62.5</v>
      </c>
      <c r="N67" s="7" t="str">
        <f t="shared" si="2"/>
        <v>Good</v>
      </c>
    </row>
    <row r="68" spans="1:15" x14ac:dyDescent="0.3">
      <c r="A68" s="2">
        <v>66</v>
      </c>
      <c r="B68" s="8" t="s">
        <v>143</v>
      </c>
      <c r="C68" s="8" t="s">
        <v>144</v>
      </c>
      <c r="D68" s="2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11">
        <v>0</v>
      </c>
      <c r="L68" s="5">
        <f t="shared" ref="L68:L69" si="3">SUM(D68:K68)</f>
        <v>0</v>
      </c>
      <c r="M68" s="5">
        <f t="shared" ref="M68:M69" si="4">(L68/8)*100</f>
        <v>0</v>
      </c>
      <c r="N68" s="7" t="str">
        <f t="shared" ref="N68" si="5">IF(M68&gt;=85,"Excellent",IF(M68&gt;=70,"Very Good",IF(M68&gt;=60,"Good",IF(M68&gt;=50,"Fair","Poor"))))</f>
        <v>Poor</v>
      </c>
    </row>
    <row r="69" spans="1:15" x14ac:dyDescent="0.3">
      <c r="A69" s="2">
        <v>67</v>
      </c>
      <c r="B69" s="8" t="s">
        <v>145</v>
      </c>
      <c r="C69" s="8" t="s">
        <v>146</v>
      </c>
      <c r="D69" s="7">
        <v>1</v>
      </c>
      <c r="E69" s="7">
        <v>1</v>
      </c>
      <c r="F69" s="7">
        <v>0</v>
      </c>
      <c r="G69" s="7">
        <v>0</v>
      </c>
      <c r="H69" s="7">
        <v>0</v>
      </c>
      <c r="I69" s="7">
        <v>1</v>
      </c>
      <c r="J69" s="7">
        <v>0</v>
      </c>
      <c r="K69" s="11">
        <v>0</v>
      </c>
      <c r="L69" s="5">
        <f t="shared" si="3"/>
        <v>3</v>
      </c>
      <c r="M69" s="5">
        <f t="shared" si="4"/>
        <v>37.5</v>
      </c>
      <c r="N69" s="7">
        <f>J6</f>
        <v>0</v>
      </c>
    </row>
    <row r="70" spans="1:15" x14ac:dyDescent="0.3">
      <c r="A70" s="2">
        <v>68</v>
      </c>
      <c r="B70" s="3" t="s">
        <v>147</v>
      </c>
      <c r="C70" s="3" t="s">
        <v>148</v>
      </c>
      <c r="D70" s="14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15">
        <v>0</v>
      </c>
      <c r="L70" s="5">
        <f>SUM(D70:K70)</f>
        <v>1</v>
      </c>
      <c r="M70" s="5">
        <f>(L70/8)*100</f>
        <v>12.5</v>
      </c>
      <c r="N70" s="5" t="str">
        <f>IF(M70&gt;=85,"Excellent",IF(M70&gt;=70,"Very Good",IF(M70&gt;=60,"Good",IF(M70&gt;=50,"Fair","Poor"))))</f>
        <v>Poor</v>
      </c>
      <c r="O70" s="13"/>
    </row>
    <row r="71" spans="1:15" x14ac:dyDescent="0.3">
      <c r="A71" s="2">
        <v>69</v>
      </c>
      <c r="B71" s="3" t="s">
        <v>149</v>
      </c>
      <c r="C71" s="3" t="s">
        <v>150</v>
      </c>
      <c r="D71" s="14">
        <v>1</v>
      </c>
      <c r="E71" s="7">
        <v>1</v>
      </c>
      <c r="F71" s="7">
        <v>0</v>
      </c>
      <c r="G71" s="7">
        <v>1</v>
      </c>
      <c r="H71" s="7">
        <v>0</v>
      </c>
      <c r="I71" s="7">
        <v>1</v>
      </c>
      <c r="J71" s="7">
        <v>0</v>
      </c>
      <c r="K71" s="16">
        <v>1</v>
      </c>
      <c r="L71" s="5">
        <f t="shared" ref="L71:L134" si="6">SUM(D71:K71)</f>
        <v>5</v>
      </c>
      <c r="M71" s="5">
        <f t="shared" ref="M71:M134" si="7">(L71/8)*100</f>
        <v>62.5</v>
      </c>
      <c r="N71" s="5" t="str">
        <f t="shared" ref="N71:N134" si="8">IF(M71&gt;=85,"Excellent",IF(M71&gt;=70,"Very Good",IF(M71&gt;=60,"Good",IF(M71&gt;=50,"Fair","Poor"))))</f>
        <v>Good</v>
      </c>
    </row>
    <row r="72" spans="1:15" x14ac:dyDescent="0.3">
      <c r="A72" s="2">
        <v>70</v>
      </c>
      <c r="B72" s="3" t="s">
        <v>151</v>
      </c>
      <c r="C72" s="3" t="s">
        <v>152</v>
      </c>
      <c r="D72" s="14">
        <v>1</v>
      </c>
      <c r="E72" s="7">
        <v>1</v>
      </c>
      <c r="F72" s="7">
        <v>0</v>
      </c>
      <c r="G72" s="7">
        <v>0</v>
      </c>
      <c r="H72" s="7">
        <v>0</v>
      </c>
      <c r="I72" s="7">
        <v>1</v>
      </c>
      <c r="J72" s="7">
        <v>1</v>
      </c>
      <c r="K72" s="16">
        <v>1</v>
      </c>
      <c r="L72" s="5">
        <f t="shared" si="6"/>
        <v>5</v>
      </c>
      <c r="M72" s="5">
        <f t="shared" si="7"/>
        <v>62.5</v>
      </c>
      <c r="N72" s="5" t="str">
        <f t="shared" si="8"/>
        <v>Good</v>
      </c>
    </row>
    <row r="73" spans="1:15" x14ac:dyDescent="0.3">
      <c r="A73" s="2">
        <v>71</v>
      </c>
      <c r="B73" s="3" t="s">
        <v>153</v>
      </c>
      <c r="C73" s="3" t="s">
        <v>154</v>
      </c>
      <c r="D73" s="14">
        <v>1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6">
        <v>1</v>
      </c>
      <c r="L73" s="5">
        <f t="shared" si="6"/>
        <v>3</v>
      </c>
      <c r="M73" s="5">
        <f t="shared" si="7"/>
        <v>37.5</v>
      </c>
      <c r="N73" s="5" t="str">
        <f t="shared" si="8"/>
        <v>Poor</v>
      </c>
    </row>
    <row r="74" spans="1:15" x14ac:dyDescent="0.3">
      <c r="A74" s="2">
        <v>72</v>
      </c>
      <c r="B74" s="3" t="s">
        <v>155</v>
      </c>
      <c r="C74" s="3" t="s">
        <v>156</v>
      </c>
      <c r="D74" s="14">
        <v>1</v>
      </c>
      <c r="E74" s="7">
        <v>1</v>
      </c>
      <c r="F74" s="7">
        <v>1</v>
      </c>
      <c r="G74" s="7">
        <v>0</v>
      </c>
      <c r="H74" s="7">
        <v>0</v>
      </c>
      <c r="I74" s="7">
        <v>1</v>
      </c>
      <c r="J74" s="7">
        <v>1</v>
      </c>
      <c r="K74" s="16">
        <v>1</v>
      </c>
      <c r="L74" s="5">
        <f t="shared" si="6"/>
        <v>6</v>
      </c>
      <c r="M74" s="5">
        <f t="shared" si="7"/>
        <v>75</v>
      </c>
      <c r="N74" s="5" t="str">
        <f t="shared" si="8"/>
        <v>Very Good</v>
      </c>
    </row>
    <row r="75" spans="1:15" x14ac:dyDescent="0.3">
      <c r="A75" s="2">
        <v>73</v>
      </c>
      <c r="B75" s="3" t="s">
        <v>157</v>
      </c>
      <c r="C75" s="3" t="s">
        <v>158</v>
      </c>
      <c r="D75" s="14">
        <v>0</v>
      </c>
      <c r="E75" s="7">
        <v>1</v>
      </c>
      <c r="F75" s="7">
        <v>1</v>
      </c>
      <c r="G75" s="7">
        <v>1</v>
      </c>
      <c r="H75" s="7">
        <v>0</v>
      </c>
      <c r="I75" s="7">
        <v>1</v>
      </c>
      <c r="J75" s="7">
        <v>1</v>
      </c>
      <c r="K75" s="16">
        <v>1</v>
      </c>
      <c r="L75" s="5">
        <f t="shared" si="6"/>
        <v>6</v>
      </c>
      <c r="M75" s="5">
        <f t="shared" si="7"/>
        <v>75</v>
      </c>
      <c r="N75" s="5" t="str">
        <f t="shared" si="8"/>
        <v>Very Good</v>
      </c>
    </row>
    <row r="76" spans="1:15" x14ac:dyDescent="0.3">
      <c r="A76" s="2">
        <v>74</v>
      </c>
      <c r="B76" s="3" t="s">
        <v>159</v>
      </c>
      <c r="C76" s="3" t="s">
        <v>160</v>
      </c>
      <c r="D76" s="14">
        <v>1</v>
      </c>
      <c r="E76" s="7">
        <v>1</v>
      </c>
      <c r="F76" s="7">
        <v>0</v>
      </c>
      <c r="G76" s="7">
        <v>0</v>
      </c>
      <c r="H76" s="7">
        <v>0</v>
      </c>
      <c r="I76" s="7">
        <v>1</v>
      </c>
      <c r="J76" s="7">
        <v>1</v>
      </c>
      <c r="K76" s="16">
        <v>1</v>
      </c>
      <c r="L76" s="5">
        <f t="shared" si="6"/>
        <v>5</v>
      </c>
      <c r="M76" s="5">
        <f t="shared" si="7"/>
        <v>62.5</v>
      </c>
      <c r="N76" s="5" t="str">
        <f t="shared" si="8"/>
        <v>Good</v>
      </c>
    </row>
    <row r="77" spans="1:15" x14ac:dyDescent="0.3">
      <c r="A77" s="2">
        <v>75</v>
      </c>
      <c r="B77" s="3" t="s">
        <v>161</v>
      </c>
      <c r="C77" s="3" t="s">
        <v>162</v>
      </c>
      <c r="D77" s="14">
        <v>1</v>
      </c>
      <c r="E77" s="7">
        <v>1</v>
      </c>
      <c r="F77" s="7">
        <v>1</v>
      </c>
      <c r="G77" s="7">
        <v>0</v>
      </c>
      <c r="H77" s="7">
        <v>1</v>
      </c>
      <c r="I77" s="7">
        <v>1</v>
      </c>
      <c r="J77" s="7">
        <v>0</v>
      </c>
      <c r="K77" s="16">
        <v>1</v>
      </c>
      <c r="L77" s="5">
        <f t="shared" si="6"/>
        <v>6</v>
      </c>
      <c r="M77" s="5">
        <f t="shared" si="7"/>
        <v>75</v>
      </c>
      <c r="N77" s="5" t="str">
        <f t="shared" si="8"/>
        <v>Very Good</v>
      </c>
    </row>
    <row r="78" spans="1:15" x14ac:dyDescent="0.3">
      <c r="A78" s="2">
        <v>76</v>
      </c>
      <c r="B78" s="3" t="s">
        <v>163</v>
      </c>
      <c r="C78" s="3" t="s">
        <v>164</v>
      </c>
      <c r="D78" s="14">
        <v>1</v>
      </c>
      <c r="E78" s="7">
        <v>1</v>
      </c>
      <c r="F78" s="7">
        <v>1</v>
      </c>
      <c r="G78" s="7">
        <v>1</v>
      </c>
      <c r="H78" s="7">
        <v>0</v>
      </c>
      <c r="I78" s="7">
        <v>1</v>
      </c>
      <c r="J78" s="7">
        <v>0</v>
      </c>
      <c r="K78" s="16">
        <v>1</v>
      </c>
      <c r="L78" s="5">
        <f t="shared" si="6"/>
        <v>6</v>
      </c>
      <c r="M78" s="5">
        <f t="shared" si="7"/>
        <v>75</v>
      </c>
      <c r="N78" s="5" t="str">
        <f t="shared" si="8"/>
        <v>Very Good</v>
      </c>
    </row>
    <row r="79" spans="1:15" x14ac:dyDescent="0.3">
      <c r="A79" s="2">
        <v>77</v>
      </c>
      <c r="B79" s="3" t="s">
        <v>165</v>
      </c>
      <c r="C79" s="3" t="s">
        <v>166</v>
      </c>
      <c r="D79" s="14">
        <v>1</v>
      </c>
      <c r="E79" s="7">
        <v>1</v>
      </c>
      <c r="F79" s="7">
        <v>0</v>
      </c>
      <c r="G79" s="7">
        <v>1</v>
      </c>
      <c r="H79" s="7">
        <v>0</v>
      </c>
      <c r="I79" s="7">
        <v>1</v>
      </c>
      <c r="J79" s="7">
        <v>0</v>
      </c>
      <c r="K79" s="16">
        <v>1</v>
      </c>
      <c r="L79" s="5">
        <f t="shared" si="6"/>
        <v>5</v>
      </c>
      <c r="M79" s="5">
        <f t="shared" si="7"/>
        <v>62.5</v>
      </c>
      <c r="N79" s="5" t="str">
        <f t="shared" si="8"/>
        <v>Good</v>
      </c>
    </row>
    <row r="80" spans="1:15" x14ac:dyDescent="0.3">
      <c r="A80" s="2">
        <v>78</v>
      </c>
      <c r="B80" s="3" t="s">
        <v>167</v>
      </c>
      <c r="C80" s="3" t="s">
        <v>168</v>
      </c>
      <c r="D80" s="14">
        <v>0</v>
      </c>
      <c r="E80" s="7">
        <v>1</v>
      </c>
      <c r="F80" s="7">
        <v>0</v>
      </c>
      <c r="G80" s="7">
        <v>1</v>
      </c>
      <c r="H80" s="7">
        <v>0</v>
      </c>
      <c r="I80" s="7">
        <v>0</v>
      </c>
      <c r="J80" s="7">
        <v>1</v>
      </c>
      <c r="K80" s="16">
        <v>1</v>
      </c>
      <c r="L80" s="5">
        <f t="shared" si="6"/>
        <v>4</v>
      </c>
      <c r="M80" s="5">
        <f t="shared" si="7"/>
        <v>50</v>
      </c>
      <c r="N80" s="5" t="str">
        <f t="shared" si="8"/>
        <v>Fair</v>
      </c>
    </row>
    <row r="81" spans="1:14" x14ac:dyDescent="0.3">
      <c r="A81" s="2">
        <v>79</v>
      </c>
      <c r="B81" s="3" t="s">
        <v>169</v>
      </c>
      <c r="C81" s="3" t="s">
        <v>170</v>
      </c>
      <c r="D81" s="14">
        <v>1</v>
      </c>
      <c r="E81" s="7">
        <v>1</v>
      </c>
      <c r="F81" s="7">
        <v>0</v>
      </c>
      <c r="G81" s="7">
        <v>1</v>
      </c>
      <c r="H81" s="7">
        <v>0</v>
      </c>
      <c r="I81" s="7">
        <v>1</v>
      </c>
      <c r="J81" s="7">
        <v>0</v>
      </c>
      <c r="K81" s="16">
        <v>1</v>
      </c>
      <c r="L81" s="5">
        <f t="shared" si="6"/>
        <v>5</v>
      </c>
      <c r="M81" s="5">
        <f t="shared" si="7"/>
        <v>62.5</v>
      </c>
      <c r="N81" s="5" t="str">
        <f t="shared" si="8"/>
        <v>Good</v>
      </c>
    </row>
    <row r="82" spans="1:14" x14ac:dyDescent="0.3">
      <c r="A82" s="2">
        <v>80</v>
      </c>
      <c r="B82" s="3" t="s">
        <v>171</v>
      </c>
      <c r="C82" s="3" t="s">
        <v>172</v>
      </c>
      <c r="D82" s="14">
        <v>1</v>
      </c>
      <c r="E82" s="7">
        <v>1</v>
      </c>
      <c r="F82" s="7">
        <v>1</v>
      </c>
      <c r="G82" s="7">
        <v>0</v>
      </c>
      <c r="H82" s="7">
        <v>0</v>
      </c>
      <c r="I82" s="7">
        <v>1</v>
      </c>
      <c r="J82" s="7">
        <v>1</v>
      </c>
      <c r="K82" s="16">
        <v>1</v>
      </c>
      <c r="L82" s="5">
        <f t="shared" si="6"/>
        <v>6</v>
      </c>
      <c r="M82" s="5">
        <f t="shared" si="7"/>
        <v>75</v>
      </c>
      <c r="N82" s="5" t="str">
        <f t="shared" si="8"/>
        <v>Very Good</v>
      </c>
    </row>
    <row r="83" spans="1:14" x14ac:dyDescent="0.3">
      <c r="A83" s="2">
        <v>81</v>
      </c>
      <c r="B83" s="3" t="s">
        <v>173</v>
      </c>
      <c r="C83" s="3" t="s">
        <v>174</v>
      </c>
      <c r="D83" s="14">
        <v>1</v>
      </c>
      <c r="E83" s="7">
        <v>1</v>
      </c>
      <c r="F83" s="7">
        <v>1</v>
      </c>
      <c r="G83" s="7">
        <v>1</v>
      </c>
      <c r="H83" s="7">
        <v>0</v>
      </c>
      <c r="I83" s="7">
        <v>1</v>
      </c>
      <c r="J83" s="7">
        <v>1</v>
      </c>
      <c r="K83" s="16">
        <v>1</v>
      </c>
      <c r="L83" s="5">
        <f t="shared" si="6"/>
        <v>7</v>
      </c>
      <c r="M83" s="5">
        <f t="shared" si="7"/>
        <v>87.5</v>
      </c>
      <c r="N83" s="5" t="str">
        <f t="shared" si="8"/>
        <v>Excellent</v>
      </c>
    </row>
    <row r="84" spans="1:14" x14ac:dyDescent="0.3">
      <c r="A84" s="2">
        <v>82</v>
      </c>
      <c r="B84" s="3" t="s">
        <v>175</v>
      </c>
      <c r="C84" s="3" t="s">
        <v>176</v>
      </c>
      <c r="D84" s="14">
        <v>1</v>
      </c>
      <c r="E84" s="7">
        <v>1</v>
      </c>
      <c r="F84" s="7">
        <v>1</v>
      </c>
      <c r="G84" s="7">
        <v>1</v>
      </c>
      <c r="H84" s="7">
        <v>0</v>
      </c>
      <c r="I84" s="7">
        <v>1</v>
      </c>
      <c r="J84" s="7">
        <v>1</v>
      </c>
      <c r="K84" s="16">
        <v>1</v>
      </c>
      <c r="L84" s="5">
        <f t="shared" si="6"/>
        <v>7</v>
      </c>
      <c r="M84" s="5">
        <f t="shared" si="7"/>
        <v>87.5</v>
      </c>
      <c r="N84" s="5" t="str">
        <f t="shared" si="8"/>
        <v>Excellent</v>
      </c>
    </row>
    <row r="85" spans="1:14" x14ac:dyDescent="0.3">
      <c r="A85" s="2">
        <v>83</v>
      </c>
      <c r="B85" s="3" t="s">
        <v>177</v>
      </c>
      <c r="C85" s="3" t="s">
        <v>178</v>
      </c>
      <c r="D85" s="14">
        <v>1</v>
      </c>
      <c r="E85" s="7">
        <v>1</v>
      </c>
      <c r="F85" s="7">
        <v>1</v>
      </c>
      <c r="G85" s="7">
        <v>1</v>
      </c>
      <c r="H85" s="7">
        <v>0</v>
      </c>
      <c r="I85" s="7">
        <v>1</v>
      </c>
      <c r="J85" s="7">
        <v>1</v>
      </c>
      <c r="K85" s="16">
        <v>1</v>
      </c>
      <c r="L85" s="5">
        <f t="shared" si="6"/>
        <v>7</v>
      </c>
      <c r="M85" s="5">
        <f t="shared" si="7"/>
        <v>87.5</v>
      </c>
      <c r="N85" s="5" t="str">
        <f t="shared" si="8"/>
        <v>Excellent</v>
      </c>
    </row>
    <row r="86" spans="1:14" x14ac:dyDescent="0.3">
      <c r="A86" s="2">
        <v>84</v>
      </c>
      <c r="B86" s="3" t="s">
        <v>179</v>
      </c>
      <c r="C86" s="3" t="s">
        <v>180</v>
      </c>
      <c r="D86" s="14">
        <v>1</v>
      </c>
      <c r="E86" s="7">
        <v>1</v>
      </c>
      <c r="F86" s="7">
        <v>0</v>
      </c>
      <c r="G86" s="7">
        <v>0</v>
      </c>
      <c r="H86" s="7">
        <v>0</v>
      </c>
      <c r="I86" s="7">
        <v>1</v>
      </c>
      <c r="J86" s="7">
        <v>1</v>
      </c>
      <c r="K86" s="16">
        <v>1</v>
      </c>
      <c r="L86" s="5">
        <f t="shared" si="6"/>
        <v>5</v>
      </c>
      <c r="M86" s="5">
        <f t="shared" si="7"/>
        <v>62.5</v>
      </c>
      <c r="N86" s="5" t="str">
        <f t="shared" si="8"/>
        <v>Good</v>
      </c>
    </row>
    <row r="87" spans="1:14" x14ac:dyDescent="0.3">
      <c r="A87" s="2">
        <v>85</v>
      </c>
      <c r="B87" s="3" t="s">
        <v>181</v>
      </c>
      <c r="C87" s="3" t="s">
        <v>182</v>
      </c>
      <c r="D87" s="14">
        <v>0</v>
      </c>
      <c r="E87" s="7">
        <v>1</v>
      </c>
      <c r="F87" s="7">
        <v>0</v>
      </c>
      <c r="G87" s="7">
        <v>0</v>
      </c>
      <c r="H87" s="7">
        <v>0</v>
      </c>
      <c r="I87" s="7">
        <v>1</v>
      </c>
      <c r="J87" s="7">
        <v>0</v>
      </c>
      <c r="K87" s="15">
        <v>0</v>
      </c>
      <c r="L87" s="5">
        <f t="shared" si="6"/>
        <v>2</v>
      </c>
      <c r="M87" s="5">
        <f t="shared" si="7"/>
        <v>25</v>
      </c>
      <c r="N87" s="5" t="str">
        <f t="shared" si="8"/>
        <v>Poor</v>
      </c>
    </row>
    <row r="88" spans="1:14" x14ac:dyDescent="0.3">
      <c r="A88" s="2">
        <v>86</v>
      </c>
      <c r="B88" s="3" t="s">
        <v>183</v>
      </c>
      <c r="C88" s="3" t="s">
        <v>184</v>
      </c>
      <c r="D88" s="14">
        <v>1</v>
      </c>
      <c r="E88" s="7">
        <v>1</v>
      </c>
      <c r="F88" s="7">
        <v>1</v>
      </c>
      <c r="G88" s="7">
        <v>0</v>
      </c>
      <c r="H88" s="7">
        <v>0</v>
      </c>
      <c r="I88" s="7">
        <v>0</v>
      </c>
      <c r="J88" s="7">
        <v>1</v>
      </c>
      <c r="K88" s="16">
        <v>1</v>
      </c>
      <c r="L88" s="5">
        <f t="shared" si="6"/>
        <v>5</v>
      </c>
      <c r="M88" s="5">
        <f t="shared" si="7"/>
        <v>62.5</v>
      </c>
      <c r="N88" s="5" t="str">
        <f t="shared" si="8"/>
        <v>Good</v>
      </c>
    </row>
    <row r="89" spans="1:14" x14ac:dyDescent="0.3">
      <c r="A89" s="2">
        <v>87</v>
      </c>
      <c r="B89" s="3" t="s">
        <v>185</v>
      </c>
      <c r="C89" s="3" t="s">
        <v>186</v>
      </c>
      <c r="D89" s="14">
        <v>1</v>
      </c>
      <c r="E89" s="7">
        <v>1</v>
      </c>
      <c r="F89" s="7">
        <v>0</v>
      </c>
      <c r="G89" s="7">
        <v>0</v>
      </c>
      <c r="H89" s="7">
        <v>1</v>
      </c>
      <c r="I89" s="7">
        <v>0</v>
      </c>
      <c r="J89" s="7">
        <v>1</v>
      </c>
      <c r="K89" s="16">
        <v>1</v>
      </c>
      <c r="L89" s="5">
        <f t="shared" si="6"/>
        <v>5</v>
      </c>
      <c r="M89" s="5">
        <f t="shared" si="7"/>
        <v>62.5</v>
      </c>
      <c r="N89" s="5" t="str">
        <f t="shared" si="8"/>
        <v>Good</v>
      </c>
    </row>
    <row r="90" spans="1:14" x14ac:dyDescent="0.3">
      <c r="A90" s="2">
        <v>88</v>
      </c>
      <c r="B90" s="3" t="s">
        <v>187</v>
      </c>
      <c r="C90" s="3" t="s">
        <v>188</v>
      </c>
      <c r="D90" s="14">
        <v>1</v>
      </c>
      <c r="E90" s="7">
        <v>1</v>
      </c>
      <c r="F90" s="7">
        <v>0</v>
      </c>
      <c r="G90" s="7">
        <v>1</v>
      </c>
      <c r="H90" s="7">
        <v>1</v>
      </c>
      <c r="I90" s="7">
        <v>0</v>
      </c>
      <c r="J90" s="7">
        <v>0</v>
      </c>
      <c r="K90" s="16">
        <v>1</v>
      </c>
      <c r="L90" s="5">
        <f t="shared" si="6"/>
        <v>5</v>
      </c>
      <c r="M90" s="5">
        <f t="shared" si="7"/>
        <v>62.5</v>
      </c>
      <c r="N90" s="5" t="str">
        <f t="shared" si="8"/>
        <v>Good</v>
      </c>
    </row>
    <row r="91" spans="1:14" x14ac:dyDescent="0.3">
      <c r="A91" s="2">
        <v>89</v>
      </c>
      <c r="B91" s="3" t="s">
        <v>189</v>
      </c>
      <c r="C91" s="3" t="s">
        <v>190</v>
      </c>
      <c r="D91" s="14">
        <v>1</v>
      </c>
      <c r="E91" s="7">
        <v>1</v>
      </c>
      <c r="F91" s="7">
        <v>1</v>
      </c>
      <c r="G91" s="7">
        <v>1</v>
      </c>
      <c r="H91" s="7">
        <v>0</v>
      </c>
      <c r="I91" s="7">
        <v>1</v>
      </c>
      <c r="J91" s="7">
        <v>1</v>
      </c>
      <c r="K91" s="16">
        <v>1</v>
      </c>
      <c r="L91" s="5">
        <f t="shared" si="6"/>
        <v>7</v>
      </c>
      <c r="M91" s="5">
        <f t="shared" si="7"/>
        <v>87.5</v>
      </c>
      <c r="N91" s="5" t="str">
        <f t="shared" si="8"/>
        <v>Excellent</v>
      </c>
    </row>
    <row r="92" spans="1:14" x14ac:dyDescent="0.3">
      <c r="A92" s="2">
        <v>90</v>
      </c>
      <c r="B92" s="3" t="s">
        <v>191</v>
      </c>
      <c r="C92" s="3" t="s">
        <v>192</v>
      </c>
      <c r="D92" s="14">
        <v>1</v>
      </c>
      <c r="E92" s="7">
        <v>0</v>
      </c>
      <c r="F92" s="7">
        <v>1</v>
      </c>
      <c r="G92" s="7">
        <v>1</v>
      </c>
      <c r="H92" s="7">
        <v>0</v>
      </c>
      <c r="I92" s="7">
        <v>1</v>
      </c>
      <c r="J92" s="7">
        <v>1</v>
      </c>
      <c r="K92" s="16">
        <v>1</v>
      </c>
      <c r="L92" s="5">
        <f t="shared" si="6"/>
        <v>6</v>
      </c>
      <c r="M92" s="5">
        <f t="shared" si="7"/>
        <v>75</v>
      </c>
      <c r="N92" s="5" t="str">
        <f t="shared" si="8"/>
        <v>Very Good</v>
      </c>
    </row>
    <row r="93" spans="1:14" x14ac:dyDescent="0.3">
      <c r="A93" s="2">
        <v>91</v>
      </c>
      <c r="B93" s="3" t="s">
        <v>193</v>
      </c>
      <c r="C93" s="3" t="s">
        <v>194</v>
      </c>
      <c r="D93" s="14">
        <v>1</v>
      </c>
      <c r="E93" s="7">
        <v>0</v>
      </c>
      <c r="F93" s="7">
        <v>0</v>
      </c>
      <c r="G93" s="7">
        <v>1</v>
      </c>
      <c r="H93" s="7">
        <v>0</v>
      </c>
      <c r="I93" s="7">
        <v>1</v>
      </c>
      <c r="J93" s="7">
        <v>1</v>
      </c>
      <c r="K93" s="15">
        <v>0</v>
      </c>
      <c r="L93" s="5">
        <f t="shared" si="6"/>
        <v>4</v>
      </c>
      <c r="M93" s="5">
        <f t="shared" si="7"/>
        <v>50</v>
      </c>
      <c r="N93" s="5" t="str">
        <f t="shared" si="8"/>
        <v>Fair</v>
      </c>
    </row>
    <row r="94" spans="1:14" x14ac:dyDescent="0.3">
      <c r="A94" s="2">
        <v>92</v>
      </c>
      <c r="B94" s="3" t="s">
        <v>195</v>
      </c>
      <c r="C94" s="3" t="s">
        <v>196</v>
      </c>
      <c r="D94" s="14">
        <v>1</v>
      </c>
      <c r="E94" s="7">
        <v>1</v>
      </c>
      <c r="F94" s="7">
        <v>1</v>
      </c>
      <c r="G94" s="7">
        <v>0</v>
      </c>
      <c r="H94" s="7">
        <v>0</v>
      </c>
      <c r="I94" s="7">
        <v>0</v>
      </c>
      <c r="J94" s="7">
        <v>1</v>
      </c>
      <c r="K94" s="16">
        <v>1</v>
      </c>
      <c r="L94" s="5">
        <f t="shared" si="6"/>
        <v>5</v>
      </c>
      <c r="M94" s="5">
        <f t="shared" si="7"/>
        <v>62.5</v>
      </c>
      <c r="N94" s="5" t="str">
        <f t="shared" si="8"/>
        <v>Good</v>
      </c>
    </row>
    <row r="95" spans="1:14" x14ac:dyDescent="0.3">
      <c r="A95" s="2">
        <v>93</v>
      </c>
      <c r="B95" s="3" t="s">
        <v>197</v>
      </c>
      <c r="C95" s="3" t="s">
        <v>198</v>
      </c>
      <c r="D95" s="14">
        <v>1</v>
      </c>
      <c r="E95" s="7">
        <v>1</v>
      </c>
      <c r="F95" s="7">
        <v>1</v>
      </c>
      <c r="G95" s="7">
        <v>0</v>
      </c>
      <c r="H95" s="7">
        <v>0</v>
      </c>
      <c r="I95" s="7">
        <v>1</v>
      </c>
      <c r="J95" s="7">
        <v>0</v>
      </c>
      <c r="K95" s="16">
        <v>1</v>
      </c>
      <c r="L95" s="5">
        <f t="shared" si="6"/>
        <v>5</v>
      </c>
      <c r="M95" s="5">
        <f t="shared" si="7"/>
        <v>62.5</v>
      </c>
      <c r="N95" s="5" t="str">
        <f t="shared" si="8"/>
        <v>Good</v>
      </c>
    </row>
    <row r="96" spans="1:14" x14ac:dyDescent="0.3">
      <c r="A96" s="2">
        <v>94</v>
      </c>
      <c r="B96" s="3" t="s">
        <v>199</v>
      </c>
      <c r="C96" s="3" t="s">
        <v>200</v>
      </c>
      <c r="D96" s="14">
        <v>1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15">
        <v>0</v>
      </c>
      <c r="L96" s="5">
        <f t="shared" si="6"/>
        <v>2</v>
      </c>
      <c r="M96" s="5">
        <f t="shared" si="7"/>
        <v>25</v>
      </c>
      <c r="N96" s="5" t="str">
        <f t="shared" si="8"/>
        <v>Poor</v>
      </c>
    </row>
    <row r="97" spans="1:14" x14ac:dyDescent="0.3">
      <c r="A97" s="2">
        <v>95</v>
      </c>
      <c r="B97" s="3" t="s">
        <v>201</v>
      </c>
      <c r="C97" s="3" t="s">
        <v>202</v>
      </c>
      <c r="D97" s="14">
        <v>1</v>
      </c>
      <c r="E97" s="7">
        <v>1</v>
      </c>
      <c r="F97" s="7">
        <v>0</v>
      </c>
      <c r="G97" s="7">
        <v>1</v>
      </c>
      <c r="H97" s="7">
        <v>1</v>
      </c>
      <c r="I97" s="7">
        <v>0</v>
      </c>
      <c r="J97" s="7">
        <v>1</v>
      </c>
      <c r="K97" s="16">
        <v>1</v>
      </c>
      <c r="L97" s="5">
        <f t="shared" si="6"/>
        <v>6</v>
      </c>
      <c r="M97" s="5">
        <f t="shared" si="7"/>
        <v>75</v>
      </c>
      <c r="N97" s="5" t="str">
        <f t="shared" si="8"/>
        <v>Very Good</v>
      </c>
    </row>
    <row r="98" spans="1:14" x14ac:dyDescent="0.3">
      <c r="A98" s="2">
        <v>96</v>
      </c>
      <c r="B98" s="3" t="s">
        <v>203</v>
      </c>
      <c r="C98" s="3" t="s">
        <v>204</v>
      </c>
      <c r="D98" s="14">
        <v>0</v>
      </c>
      <c r="E98" s="7">
        <v>1</v>
      </c>
      <c r="F98" s="7">
        <v>1</v>
      </c>
      <c r="G98" s="7">
        <v>0</v>
      </c>
      <c r="H98" s="7">
        <v>0</v>
      </c>
      <c r="I98" s="7">
        <v>1</v>
      </c>
      <c r="J98" s="7">
        <v>0</v>
      </c>
      <c r="K98" s="16">
        <v>1</v>
      </c>
      <c r="L98" s="5">
        <f t="shared" si="6"/>
        <v>4</v>
      </c>
      <c r="M98" s="5">
        <f t="shared" si="7"/>
        <v>50</v>
      </c>
      <c r="N98" s="5" t="str">
        <f t="shared" si="8"/>
        <v>Fair</v>
      </c>
    </row>
    <row r="99" spans="1:14" x14ac:dyDescent="0.3">
      <c r="A99" s="2">
        <v>97</v>
      </c>
      <c r="B99" s="3" t="s">
        <v>205</v>
      </c>
      <c r="C99" s="3" t="s">
        <v>206</v>
      </c>
      <c r="D99" s="14">
        <v>0</v>
      </c>
      <c r="E99" s="7">
        <v>0</v>
      </c>
      <c r="F99" s="7">
        <v>0</v>
      </c>
      <c r="G99" s="7">
        <v>1</v>
      </c>
      <c r="H99" s="7">
        <v>0</v>
      </c>
      <c r="I99" s="7">
        <v>0</v>
      </c>
      <c r="J99" s="7">
        <v>0</v>
      </c>
      <c r="K99" s="15">
        <v>0</v>
      </c>
      <c r="L99" s="5">
        <f t="shared" si="6"/>
        <v>1</v>
      </c>
      <c r="M99" s="5">
        <f t="shared" si="7"/>
        <v>12.5</v>
      </c>
      <c r="N99" s="5" t="str">
        <f t="shared" si="8"/>
        <v>Poor</v>
      </c>
    </row>
    <row r="100" spans="1:14" x14ac:dyDescent="0.3">
      <c r="A100" s="2">
        <v>98</v>
      </c>
      <c r="B100" s="3" t="s">
        <v>207</v>
      </c>
      <c r="C100" s="3" t="s">
        <v>208</v>
      </c>
      <c r="D100" s="14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15">
        <v>0</v>
      </c>
      <c r="L100" s="5">
        <f t="shared" si="6"/>
        <v>0</v>
      </c>
      <c r="M100" s="5">
        <f t="shared" si="7"/>
        <v>0</v>
      </c>
      <c r="N100" s="5" t="str">
        <f t="shared" si="8"/>
        <v>Poor</v>
      </c>
    </row>
    <row r="101" spans="1:14" x14ac:dyDescent="0.3">
      <c r="A101" s="2">
        <v>99</v>
      </c>
      <c r="B101" s="3" t="s">
        <v>209</v>
      </c>
      <c r="C101" s="3" t="s">
        <v>210</v>
      </c>
      <c r="D101" s="14">
        <v>1</v>
      </c>
      <c r="E101" s="7">
        <v>1</v>
      </c>
      <c r="F101" s="7">
        <v>1</v>
      </c>
      <c r="G101" s="7">
        <v>0</v>
      </c>
      <c r="H101" s="7">
        <v>0</v>
      </c>
      <c r="I101" s="7">
        <v>1</v>
      </c>
      <c r="J101" s="7">
        <v>1</v>
      </c>
      <c r="K101" s="16">
        <v>1</v>
      </c>
      <c r="L101" s="5">
        <f t="shared" si="6"/>
        <v>6</v>
      </c>
      <c r="M101" s="5">
        <f t="shared" si="7"/>
        <v>75</v>
      </c>
      <c r="N101" s="5" t="str">
        <f t="shared" si="8"/>
        <v>Very Good</v>
      </c>
    </row>
    <row r="102" spans="1:14" x14ac:dyDescent="0.3">
      <c r="A102" s="2">
        <v>100</v>
      </c>
      <c r="B102" s="3" t="s">
        <v>211</v>
      </c>
      <c r="C102" s="3" t="s">
        <v>212</v>
      </c>
      <c r="D102" s="14">
        <v>1</v>
      </c>
      <c r="E102" s="7">
        <v>1</v>
      </c>
      <c r="F102" s="7">
        <v>1</v>
      </c>
      <c r="G102" s="7">
        <v>0</v>
      </c>
      <c r="H102" s="7">
        <v>0</v>
      </c>
      <c r="I102" s="7">
        <v>1</v>
      </c>
      <c r="J102" s="7">
        <v>1</v>
      </c>
      <c r="K102" s="16">
        <v>1</v>
      </c>
      <c r="L102" s="5">
        <f t="shared" si="6"/>
        <v>6</v>
      </c>
      <c r="M102" s="5">
        <f t="shared" si="7"/>
        <v>75</v>
      </c>
      <c r="N102" s="5" t="str">
        <f t="shared" si="8"/>
        <v>Very Good</v>
      </c>
    </row>
    <row r="103" spans="1:14" x14ac:dyDescent="0.3">
      <c r="A103" s="2">
        <v>101</v>
      </c>
      <c r="B103" s="3" t="s">
        <v>213</v>
      </c>
      <c r="C103" s="3" t="s">
        <v>214</v>
      </c>
      <c r="D103" s="14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15">
        <v>0</v>
      </c>
      <c r="L103" s="5">
        <f t="shared" si="6"/>
        <v>0</v>
      </c>
      <c r="M103" s="5">
        <f t="shared" si="7"/>
        <v>0</v>
      </c>
      <c r="N103" s="5" t="str">
        <f t="shared" si="8"/>
        <v>Poor</v>
      </c>
    </row>
    <row r="104" spans="1:14" x14ac:dyDescent="0.3">
      <c r="A104" s="2">
        <v>102</v>
      </c>
      <c r="B104" s="3" t="s">
        <v>215</v>
      </c>
      <c r="C104" s="3" t="s">
        <v>216</v>
      </c>
      <c r="D104" s="14">
        <v>1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16">
        <v>1</v>
      </c>
      <c r="L104" s="5">
        <f t="shared" si="6"/>
        <v>2</v>
      </c>
      <c r="M104" s="5">
        <f t="shared" si="7"/>
        <v>25</v>
      </c>
      <c r="N104" s="5" t="str">
        <f t="shared" si="8"/>
        <v>Poor</v>
      </c>
    </row>
    <row r="105" spans="1:14" x14ac:dyDescent="0.3">
      <c r="A105" s="2">
        <v>103</v>
      </c>
      <c r="B105" s="3" t="s">
        <v>217</v>
      </c>
      <c r="C105" s="3" t="s">
        <v>218</v>
      </c>
      <c r="D105" s="14">
        <v>1</v>
      </c>
      <c r="E105" s="7">
        <v>1</v>
      </c>
      <c r="F105" s="7">
        <v>1</v>
      </c>
      <c r="G105" s="7">
        <v>1</v>
      </c>
      <c r="H105" s="7">
        <v>0</v>
      </c>
      <c r="I105" s="7">
        <v>1</v>
      </c>
      <c r="J105" s="7">
        <v>0</v>
      </c>
      <c r="K105" s="16">
        <v>1</v>
      </c>
      <c r="L105" s="5">
        <f t="shared" si="6"/>
        <v>6</v>
      </c>
      <c r="M105" s="5">
        <f t="shared" si="7"/>
        <v>75</v>
      </c>
      <c r="N105" s="5" t="str">
        <f t="shared" si="8"/>
        <v>Very Good</v>
      </c>
    </row>
    <row r="106" spans="1:14" x14ac:dyDescent="0.3">
      <c r="A106" s="2">
        <v>104</v>
      </c>
      <c r="B106" s="3" t="s">
        <v>219</v>
      </c>
      <c r="C106" s="3" t="s">
        <v>220</v>
      </c>
      <c r="D106" s="14">
        <v>1</v>
      </c>
      <c r="E106" s="7">
        <v>1</v>
      </c>
      <c r="F106" s="7">
        <v>0</v>
      </c>
      <c r="G106" s="7">
        <v>0</v>
      </c>
      <c r="H106" s="7">
        <v>0</v>
      </c>
      <c r="I106" s="7">
        <v>1</v>
      </c>
      <c r="J106" s="7">
        <v>1</v>
      </c>
      <c r="K106" s="16">
        <v>1</v>
      </c>
      <c r="L106" s="5">
        <f t="shared" si="6"/>
        <v>5</v>
      </c>
      <c r="M106" s="5">
        <f t="shared" si="7"/>
        <v>62.5</v>
      </c>
      <c r="N106" s="5" t="str">
        <f t="shared" si="8"/>
        <v>Good</v>
      </c>
    </row>
    <row r="107" spans="1:14" x14ac:dyDescent="0.3">
      <c r="A107" s="2">
        <v>105</v>
      </c>
      <c r="B107" s="3" t="s">
        <v>221</v>
      </c>
      <c r="C107" s="3" t="s">
        <v>222</v>
      </c>
      <c r="D107" s="14">
        <v>1</v>
      </c>
      <c r="E107" s="7">
        <v>1</v>
      </c>
      <c r="F107" s="7">
        <v>1</v>
      </c>
      <c r="G107" s="7">
        <v>0</v>
      </c>
      <c r="H107" s="7">
        <v>0</v>
      </c>
      <c r="I107" s="7">
        <v>1</v>
      </c>
      <c r="J107" s="7">
        <v>1</v>
      </c>
      <c r="K107" s="16">
        <v>1</v>
      </c>
      <c r="L107" s="5">
        <f t="shared" si="6"/>
        <v>6</v>
      </c>
      <c r="M107" s="5">
        <f t="shared" si="7"/>
        <v>75</v>
      </c>
      <c r="N107" s="5" t="str">
        <f t="shared" si="8"/>
        <v>Very Good</v>
      </c>
    </row>
    <row r="108" spans="1:14" x14ac:dyDescent="0.3">
      <c r="A108" s="2">
        <v>106</v>
      </c>
      <c r="B108" s="3" t="s">
        <v>223</v>
      </c>
      <c r="C108" s="3" t="s">
        <v>224</v>
      </c>
      <c r="D108" s="14">
        <v>0</v>
      </c>
      <c r="E108" s="7">
        <v>1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15">
        <v>0</v>
      </c>
      <c r="L108" s="5">
        <f t="shared" si="6"/>
        <v>1</v>
      </c>
      <c r="M108" s="5">
        <f t="shared" si="7"/>
        <v>12.5</v>
      </c>
      <c r="N108" s="5" t="str">
        <f t="shared" si="8"/>
        <v>Poor</v>
      </c>
    </row>
    <row r="109" spans="1:14" x14ac:dyDescent="0.3">
      <c r="A109" s="2">
        <v>107</v>
      </c>
      <c r="B109" s="3" t="s">
        <v>225</v>
      </c>
      <c r="C109" s="3" t="s">
        <v>226</v>
      </c>
      <c r="D109" s="14">
        <v>1</v>
      </c>
      <c r="E109" s="7">
        <v>1</v>
      </c>
      <c r="F109" s="7">
        <v>0</v>
      </c>
      <c r="G109" s="7">
        <v>0</v>
      </c>
      <c r="H109" s="7">
        <v>0</v>
      </c>
      <c r="I109" s="7">
        <v>0</v>
      </c>
      <c r="J109" s="7">
        <v>1</v>
      </c>
      <c r="K109" s="16">
        <v>1</v>
      </c>
      <c r="L109" s="5">
        <f t="shared" si="6"/>
        <v>4</v>
      </c>
      <c r="M109" s="5">
        <f t="shared" si="7"/>
        <v>50</v>
      </c>
      <c r="N109" s="5" t="str">
        <f t="shared" si="8"/>
        <v>Fair</v>
      </c>
    </row>
    <row r="110" spans="1:14" x14ac:dyDescent="0.3">
      <c r="A110" s="2">
        <v>108</v>
      </c>
      <c r="B110" s="3" t="s">
        <v>227</v>
      </c>
      <c r="C110" s="3" t="s">
        <v>228</v>
      </c>
      <c r="D110" s="14">
        <v>1</v>
      </c>
      <c r="E110" s="7">
        <v>1</v>
      </c>
      <c r="F110" s="7">
        <v>1</v>
      </c>
      <c r="G110" s="7">
        <v>0</v>
      </c>
      <c r="H110" s="7">
        <v>0</v>
      </c>
      <c r="I110" s="7">
        <v>1</v>
      </c>
      <c r="J110" s="7">
        <v>1</v>
      </c>
      <c r="K110" s="16">
        <v>1</v>
      </c>
      <c r="L110" s="5">
        <f t="shared" si="6"/>
        <v>6</v>
      </c>
      <c r="M110" s="5">
        <f t="shared" si="7"/>
        <v>75</v>
      </c>
      <c r="N110" s="5" t="str">
        <f t="shared" si="8"/>
        <v>Very Good</v>
      </c>
    </row>
    <row r="111" spans="1:14" x14ac:dyDescent="0.3">
      <c r="A111" s="2">
        <v>109</v>
      </c>
      <c r="B111" s="3" t="s">
        <v>229</v>
      </c>
      <c r="C111" s="3" t="s">
        <v>230</v>
      </c>
      <c r="D111" s="14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15">
        <v>0</v>
      </c>
      <c r="L111" s="5">
        <f t="shared" si="6"/>
        <v>0</v>
      </c>
      <c r="M111" s="5">
        <f t="shared" si="7"/>
        <v>0</v>
      </c>
      <c r="N111" s="5" t="str">
        <f t="shared" si="8"/>
        <v>Poor</v>
      </c>
    </row>
    <row r="112" spans="1:14" x14ac:dyDescent="0.3">
      <c r="A112" s="2">
        <v>110</v>
      </c>
      <c r="B112" s="3" t="s">
        <v>231</v>
      </c>
      <c r="C112" s="3" t="s">
        <v>232</v>
      </c>
      <c r="D112" s="14">
        <v>1</v>
      </c>
      <c r="E112" s="7">
        <v>1</v>
      </c>
      <c r="F112" s="7">
        <v>1</v>
      </c>
      <c r="G112" s="7">
        <v>0</v>
      </c>
      <c r="H112" s="7">
        <v>1</v>
      </c>
      <c r="I112" s="7">
        <v>0</v>
      </c>
      <c r="J112" s="7">
        <v>1</v>
      </c>
      <c r="K112" s="16">
        <v>1</v>
      </c>
      <c r="L112" s="5">
        <f t="shared" si="6"/>
        <v>6</v>
      </c>
      <c r="M112" s="5">
        <f t="shared" si="7"/>
        <v>75</v>
      </c>
      <c r="N112" s="5" t="str">
        <f t="shared" si="8"/>
        <v>Very Good</v>
      </c>
    </row>
    <row r="113" spans="1:14" x14ac:dyDescent="0.3">
      <c r="A113" s="2">
        <v>111</v>
      </c>
      <c r="B113" s="3" t="s">
        <v>233</v>
      </c>
      <c r="C113" s="3" t="s">
        <v>234</v>
      </c>
      <c r="D113" s="14">
        <v>1</v>
      </c>
      <c r="E113" s="7">
        <v>1</v>
      </c>
      <c r="F113" s="7">
        <v>1</v>
      </c>
      <c r="G113" s="7">
        <v>0</v>
      </c>
      <c r="H113" s="7">
        <v>0</v>
      </c>
      <c r="I113" s="7">
        <v>1</v>
      </c>
      <c r="J113" s="7">
        <v>1</v>
      </c>
      <c r="K113" s="16">
        <v>1</v>
      </c>
      <c r="L113" s="5">
        <f t="shared" si="6"/>
        <v>6</v>
      </c>
      <c r="M113" s="5">
        <f t="shared" si="7"/>
        <v>75</v>
      </c>
      <c r="N113" s="5" t="str">
        <f t="shared" si="8"/>
        <v>Very Good</v>
      </c>
    </row>
    <row r="114" spans="1:14" x14ac:dyDescent="0.3">
      <c r="A114" s="2">
        <v>112</v>
      </c>
      <c r="B114" s="3" t="s">
        <v>235</v>
      </c>
      <c r="C114" s="3" t="s">
        <v>236</v>
      </c>
      <c r="D114" s="14">
        <v>1</v>
      </c>
      <c r="E114" s="7">
        <v>1</v>
      </c>
      <c r="F114" s="7">
        <v>1</v>
      </c>
      <c r="G114" s="7">
        <v>0</v>
      </c>
      <c r="H114" s="7">
        <v>0</v>
      </c>
      <c r="I114" s="7">
        <v>1</v>
      </c>
      <c r="J114" s="7">
        <v>1</v>
      </c>
      <c r="K114" s="16">
        <v>1</v>
      </c>
      <c r="L114" s="5">
        <f t="shared" si="6"/>
        <v>6</v>
      </c>
      <c r="M114" s="5">
        <f t="shared" si="7"/>
        <v>75</v>
      </c>
      <c r="N114" s="5" t="str">
        <f t="shared" si="8"/>
        <v>Very Good</v>
      </c>
    </row>
    <row r="115" spans="1:14" x14ac:dyDescent="0.3">
      <c r="A115" s="2">
        <v>113</v>
      </c>
      <c r="B115" s="3" t="s">
        <v>237</v>
      </c>
      <c r="C115" s="3" t="s">
        <v>238</v>
      </c>
      <c r="D115" s="14">
        <v>1</v>
      </c>
      <c r="E115" s="7">
        <v>1</v>
      </c>
      <c r="F115" s="7">
        <v>1</v>
      </c>
      <c r="G115" s="7">
        <v>0</v>
      </c>
      <c r="H115" s="7">
        <v>0</v>
      </c>
      <c r="I115" s="7">
        <v>0</v>
      </c>
      <c r="J115" s="7">
        <v>0</v>
      </c>
      <c r="K115" s="16">
        <v>1</v>
      </c>
      <c r="L115" s="5">
        <f t="shared" si="6"/>
        <v>4</v>
      </c>
      <c r="M115" s="5">
        <f t="shared" si="7"/>
        <v>50</v>
      </c>
      <c r="N115" s="5" t="str">
        <f t="shared" si="8"/>
        <v>Fair</v>
      </c>
    </row>
    <row r="116" spans="1:14" x14ac:dyDescent="0.3">
      <c r="A116" s="2">
        <v>114</v>
      </c>
      <c r="B116" s="3" t="s">
        <v>239</v>
      </c>
      <c r="C116" s="3" t="s">
        <v>240</v>
      </c>
      <c r="D116" s="14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16">
        <v>1</v>
      </c>
      <c r="L116" s="5">
        <f t="shared" si="6"/>
        <v>8</v>
      </c>
      <c r="M116" s="5">
        <f t="shared" si="7"/>
        <v>100</v>
      </c>
      <c r="N116" s="5" t="str">
        <f t="shared" si="8"/>
        <v>Excellent</v>
      </c>
    </row>
    <row r="117" spans="1:14" x14ac:dyDescent="0.3">
      <c r="A117" s="2">
        <v>115</v>
      </c>
      <c r="B117" s="3" t="s">
        <v>241</v>
      </c>
      <c r="C117" s="3" t="s">
        <v>242</v>
      </c>
      <c r="D117" s="14">
        <v>0</v>
      </c>
      <c r="E117" s="7">
        <v>1</v>
      </c>
      <c r="F117" s="7">
        <v>0</v>
      </c>
      <c r="G117" s="7">
        <v>0</v>
      </c>
      <c r="H117" s="7">
        <v>0</v>
      </c>
      <c r="I117" s="7">
        <v>1</v>
      </c>
      <c r="J117" s="7">
        <v>1</v>
      </c>
      <c r="K117" s="15">
        <v>0</v>
      </c>
      <c r="L117" s="5">
        <f t="shared" si="6"/>
        <v>3</v>
      </c>
      <c r="M117" s="5">
        <f t="shared" si="7"/>
        <v>37.5</v>
      </c>
      <c r="N117" s="5" t="str">
        <f t="shared" si="8"/>
        <v>Poor</v>
      </c>
    </row>
    <row r="118" spans="1:14" x14ac:dyDescent="0.3">
      <c r="A118" s="2">
        <v>116</v>
      </c>
      <c r="B118" s="3" t="s">
        <v>243</v>
      </c>
      <c r="C118" s="3" t="s">
        <v>244</v>
      </c>
      <c r="D118" s="14">
        <v>1</v>
      </c>
      <c r="E118" s="7">
        <v>1</v>
      </c>
      <c r="F118" s="7">
        <v>1</v>
      </c>
      <c r="G118" s="7">
        <v>1</v>
      </c>
      <c r="H118" s="7">
        <v>0</v>
      </c>
      <c r="I118" s="7">
        <v>1</v>
      </c>
      <c r="J118" s="7">
        <v>0</v>
      </c>
      <c r="K118" s="16">
        <v>1</v>
      </c>
      <c r="L118" s="5">
        <f t="shared" si="6"/>
        <v>6</v>
      </c>
      <c r="M118" s="5">
        <f t="shared" si="7"/>
        <v>75</v>
      </c>
      <c r="N118" s="5" t="str">
        <f t="shared" si="8"/>
        <v>Very Good</v>
      </c>
    </row>
    <row r="119" spans="1:14" x14ac:dyDescent="0.3">
      <c r="A119" s="2">
        <v>117</v>
      </c>
      <c r="B119" s="3" t="s">
        <v>245</v>
      </c>
      <c r="C119" s="3" t="s">
        <v>246</v>
      </c>
      <c r="D119" s="14">
        <v>0</v>
      </c>
      <c r="E119" s="7">
        <v>1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16">
        <v>1</v>
      </c>
      <c r="L119" s="5">
        <f t="shared" si="6"/>
        <v>3</v>
      </c>
      <c r="M119" s="5">
        <f t="shared" si="7"/>
        <v>37.5</v>
      </c>
      <c r="N119" s="5" t="str">
        <f t="shared" si="8"/>
        <v>Poor</v>
      </c>
    </row>
    <row r="120" spans="1:14" x14ac:dyDescent="0.3">
      <c r="A120" s="2">
        <v>118</v>
      </c>
      <c r="B120" s="3" t="s">
        <v>247</v>
      </c>
      <c r="C120" s="3" t="s">
        <v>248</v>
      </c>
      <c r="D120" s="14">
        <v>0</v>
      </c>
      <c r="E120" s="7">
        <v>0</v>
      </c>
      <c r="F120" s="7">
        <v>1</v>
      </c>
      <c r="G120" s="7">
        <v>0</v>
      </c>
      <c r="H120" s="7">
        <v>0</v>
      </c>
      <c r="I120" s="7">
        <v>1</v>
      </c>
      <c r="J120" s="7">
        <v>1</v>
      </c>
      <c r="K120" s="16">
        <v>1</v>
      </c>
      <c r="L120" s="5">
        <f t="shared" si="6"/>
        <v>4</v>
      </c>
      <c r="M120" s="5">
        <f t="shared" si="7"/>
        <v>50</v>
      </c>
      <c r="N120" s="5" t="str">
        <f t="shared" si="8"/>
        <v>Fair</v>
      </c>
    </row>
    <row r="121" spans="1:14" x14ac:dyDescent="0.3">
      <c r="A121" s="2">
        <v>119</v>
      </c>
      <c r="B121" s="3" t="s">
        <v>249</v>
      </c>
      <c r="C121" s="3" t="s">
        <v>250</v>
      </c>
      <c r="D121" s="14">
        <v>1</v>
      </c>
      <c r="E121" s="7">
        <v>1</v>
      </c>
      <c r="F121" s="7">
        <v>1</v>
      </c>
      <c r="G121" s="7">
        <v>0</v>
      </c>
      <c r="H121" s="7">
        <v>1</v>
      </c>
      <c r="I121" s="7">
        <v>1</v>
      </c>
      <c r="J121" s="7">
        <v>1</v>
      </c>
      <c r="K121" s="16">
        <v>1</v>
      </c>
      <c r="L121" s="5">
        <f t="shared" si="6"/>
        <v>7</v>
      </c>
      <c r="M121" s="5">
        <f t="shared" si="7"/>
        <v>87.5</v>
      </c>
      <c r="N121" s="5" t="str">
        <f t="shared" si="8"/>
        <v>Excellent</v>
      </c>
    </row>
    <row r="122" spans="1:14" x14ac:dyDescent="0.3">
      <c r="A122" s="2">
        <v>120</v>
      </c>
      <c r="B122" s="3" t="s">
        <v>251</v>
      </c>
      <c r="C122" s="3" t="s">
        <v>252</v>
      </c>
      <c r="D122" s="14">
        <v>1</v>
      </c>
      <c r="E122" s="7">
        <v>1</v>
      </c>
      <c r="F122" s="7">
        <v>1</v>
      </c>
      <c r="G122" s="7">
        <v>1</v>
      </c>
      <c r="H122" s="7">
        <v>0</v>
      </c>
      <c r="I122" s="7">
        <v>1</v>
      </c>
      <c r="J122" s="7">
        <v>0</v>
      </c>
      <c r="K122" s="16">
        <v>1</v>
      </c>
      <c r="L122" s="5">
        <f t="shared" si="6"/>
        <v>6</v>
      </c>
      <c r="M122" s="5">
        <f t="shared" si="7"/>
        <v>75</v>
      </c>
      <c r="N122" s="5" t="str">
        <f t="shared" si="8"/>
        <v>Very Good</v>
      </c>
    </row>
    <row r="123" spans="1:14" x14ac:dyDescent="0.3">
      <c r="A123" s="2">
        <v>121</v>
      </c>
      <c r="B123" s="3" t="s">
        <v>253</v>
      </c>
      <c r="C123" s="3" t="s">
        <v>254</v>
      </c>
      <c r="D123" s="14">
        <v>1</v>
      </c>
      <c r="E123" s="7">
        <v>1</v>
      </c>
      <c r="F123" s="7">
        <v>1</v>
      </c>
      <c r="G123" s="7">
        <v>1</v>
      </c>
      <c r="H123" s="7">
        <v>0</v>
      </c>
      <c r="I123" s="7">
        <v>1</v>
      </c>
      <c r="J123" s="7">
        <v>1</v>
      </c>
      <c r="K123" s="16">
        <v>1</v>
      </c>
      <c r="L123" s="5">
        <f t="shared" si="6"/>
        <v>7</v>
      </c>
      <c r="M123" s="5">
        <f t="shared" si="7"/>
        <v>87.5</v>
      </c>
      <c r="N123" s="5" t="str">
        <f t="shared" si="8"/>
        <v>Excellent</v>
      </c>
    </row>
    <row r="124" spans="1:14" x14ac:dyDescent="0.3">
      <c r="A124" s="2">
        <v>122</v>
      </c>
      <c r="B124" s="3" t="s">
        <v>255</v>
      </c>
      <c r="C124" s="3" t="s">
        <v>256</v>
      </c>
      <c r="D124" s="14">
        <v>1</v>
      </c>
      <c r="E124" s="7">
        <v>1</v>
      </c>
      <c r="F124" s="7">
        <v>1</v>
      </c>
      <c r="G124" s="7">
        <v>1</v>
      </c>
      <c r="H124" s="7">
        <v>0</v>
      </c>
      <c r="I124" s="7">
        <v>1</v>
      </c>
      <c r="J124" s="7">
        <v>1</v>
      </c>
      <c r="K124" s="16">
        <v>1</v>
      </c>
      <c r="L124" s="5">
        <f t="shared" si="6"/>
        <v>7</v>
      </c>
      <c r="M124" s="5">
        <f t="shared" si="7"/>
        <v>87.5</v>
      </c>
      <c r="N124" s="5" t="str">
        <f t="shared" si="8"/>
        <v>Excellent</v>
      </c>
    </row>
    <row r="125" spans="1:14" x14ac:dyDescent="0.3">
      <c r="A125" s="2">
        <v>123</v>
      </c>
      <c r="B125" s="3" t="s">
        <v>257</v>
      </c>
      <c r="C125" s="3" t="s">
        <v>258</v>
      </c>
      <c r="D125" s="14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16">
        <v>1</v>
      </c>
      <c r="L125" s="5">
        <f t="shared" si="6"/>
        <v>8</v>
      </c>
      <c r="M125" s="5">
        <f t="shared" si="7"/>
        <v>100</v>
      </c>
      <c r="N125" s="5" t="str">
        <f t="shared" si="8"/>
        <v>Excellent</v>
      </c>
    </row>
    <row r="126" spans="1:14" x14ac:dyDescent="0.3">
      <c r="A126" s="2">
        <v>124</v>
      </c>
      <c r="B126" s="3" t="s">
        <v>259</v>
      </c>
      <c r="C126" s="3" t="s">
        <v>260</v>
      </c>
      <c r="D126" s="14">
        <v>0</v>
      </c>
      <c r="E126" s="7">
        <v>1</v>
      </c>
      <c r="F126" s="7">
        <v>1</v>
      </c>
      <c r="G126" s="7">
        <v>0</v>
      </c>
      <c r="H126" s="7">
        <v>0</v>
      </c>
      <c r="I126" s="7">
        <v>1</v>
      </c>
      <c r="J126" s="7">
        <v>1</v>
      </c>
      <c r="K126" s="15">
        <v>0</v>
      </c>
      <c r="L126" s="5">
        <f t="shared" si="6"/>
        <v>4</v>
      </c>
      <c r="M126" s="5">
        <f t="shared" si="7"/>
        <v>50</v>
      </c>
      <c r="N126" s="5" t="str">
        <f t="shared" si="8"/>
        <v>Fair</v>
      </c>
    </row>
    <row r="127" spans="1:14" x14ac:dyDescent="0.3">
      <c r="A127" s="2">
        <v>125</v>
      </c>
      <c r="B127" s="3" t="s">
        <v>261</v>
      </c>
      <c r="C127" s="3" t="s">
        <v>262</v>
      </c>
      <c r="D127" s="14">
        <v>1</v>
      </c>
      <c r="E127" s="7">
        <v>1</v>
      </c>
      <c r="F127" s="7">
        <v>1</v>
      </c>
      <c r="G127" s="7">
        <v>0</v>
      </c>
      <c r="H127" s="7">
        <v>0</v>
      </c>
      <c r="I127" s="7">
        <v>0</v>
      </c>
      <c r="J127" s="7">
        <v>1</v>
      </c>
      <c r="K127" s="16">
        <v>1</v>
      </c>
      <c r="L127" s="5">
        <f t="shared" si="6"/>
        <v>5</v>
      </c>
      <c r="M127" s="5">
        <f t="shared" si="7"/>
        <v>62.5</v>
      </c>
      <c r="N127" s="5" t="str">
        <f t="shared" si="8"/>
        <v>Good</v>
      </c>
    </row>
    <row r="128" spans="1:14" x14ac:dyDescent="0.3">
      <c r="A128" s="2">
        <v>126</v>
      </c>
      <c r="B128" s="3" t="s">
        <v>263</v>
      </c>
      <c r="C128" s="3" t="s">
        <v>264</v>
      </c>
      <c r="D128" s="14">
        <v>1</v>
      </c>
      <c r="E128" s="7">
        <v>1</v>
      </c>
      <c r="F128" s="7">
        <v>1</v>
      </c>
      <c r="G128" s="7">
        <v>0</v>
      </c>
      <c r="H128" s="7">
        <v>0</v>
      </c>
      <c r="I128" s="7">
        <v>0</v>
      </c>
      <c r="J128" s="7">
        <v>1</v>
      </c>
      <c r="K128" s="16">
        <v>1</v>
      </c>
      <c r="L128" s="5">
        <f t="shared" si="6"/>
        <v>5</v>
      </c>
      <c r="M128" s="5">
        <f t="shared" si="7"/>
        <v>62.5</v>
      </c>
      <c r="N128" s="5" t="str">
        <f t="shared" si="8"/>
        <v>Good</v>
      </c>
    </row>
    <row r="129" spans="1:14" x14ac:dyDescent="0.3">
      <c r="A129" s="2">
        <v>127</v>
      </c>
      <c r="B129" s="3" t="s">
        <v>265</v>
      </c>
      <c r="C129" s="3" t="s">
        <v>266</v>
      </c>
      <c r="D129" s="14">
        <v>1</v>
      </c>
      <c r="E129" s="7">
        <v>1</v>
      </c>
      <c r="F129" s="7">
        <v>1</v>
      </c>
      <c r="G129" s="7">
        <v>0</v>
      </c>
      <c r="H129" s="7">
        <v>0</v>
      </c>
      <c r="I129" s="7">
        <v>0</v>
      </c>
      <c r="J129" s="7">
        <v>1</v>
      </c>
      <c r="K129" s="16">
        <v>1</v>
      </c>
      <c r="L129" s="5">
        <f t="shared" si="6"/>
        <v>5</v>
      </c>
      <c r="M129" s="5">
        <f t="shared" si="7"/>
        <v>62.5</v>
      </c>
      <c r="N129" s="5" t="str">
        <f t="shared" si="8"/>
        <v>Good</v>
      </c>
    </row>
    <row r="130" spans="1:14" x14ac:dyDescent="0.3">
      <c r="A130" s="2">
        <v>128</v>
      </c>
      <c r="B130" s="3" t="s">
        <v>267</v>
      </c>
      <c r="C130" s="3" t="s">
        <v>268</v>
      </c>
      <c r="D130" s="14">
        <v>1</v>
      </c>
      <c r="E130" s="7">
        <v>1</v>
      </c>
      <c r="F130" s="7">
        <v>1</v>
      </c>
      <c r="G130" s="7">
        <v>0</v>
      </c>
      <c r="H130" s="7">
        <v>0</v>
      </c>
      <c r="I130" s="7">
        <v>0</v>
      </c>
      <c r="J130" s="7">
        <v>1</v>
      </c>
      <c r="K130" s="16">
        <v>1</v>
      </c>
      <c r="L130" s="5">
        <f t="shared" si="6"/>
        <v>5</v>
      </c>
      <c r="M130" s="5">
        <f t="shared" si="7"/>
        <v>62.5</v>
      </c>
      <c r="N130" s="5" t="str">
        <f t="shared" si="8"/>
        <v>Good</v>
      </c>
    </row>
    <row r="131" spans="1:14" x14ac:dyDescent="0.3">
      <c r="A131" s="2">
        <v>129</v>
      </c>
      <c r="B131" s="3" t="s">
        <v>269</v>
      </c>
      <c r="C131" s="3" t="s">
        <v>270</v>
      </c>
      <c r="D131" s="14">
        <v>1</v>
      </c>
      <c r="E131" s="7">
        <v>1</v>
      </c>
      <c r="F131" s="7">
        <v>1</v>
      </c>
      <c r="G131" s="7">
        <v>0</v>
      </c>
      <c r="H131" s="7">
        <v>1</v>
      </c>
      <c r="I131" s="7">
        <v>0</v>
      </c>
      <c r="J131" s="7">
        <v>0</v>
      </c>
      <c r="K131" s="16">
        <v>1</v>
      </c>
      <c r="L131" s="5">
        <f t="shared" si="6"/>
        <v>5</v>
      </c>
      <c r="M131" s="5">
        <f t="shared" si="7"/>
        <v>62.5</v>
      </c>
      <c r="N131" s="5" t="str">
        <f t="shared" si="8"/>
        <v>Good</v>
      </c>
    </row>
    <row r="132" spans="1:14" x14ac:dyDescent="0.3">
      <c r="A132" s="2">
        <v>130</v>
      </c>
      <c r="B132" s="3" t="s">
        <v>271</v>
      </c>
      <c r="C132" s="3" t="s">
        <v>272</v>
      </c>
      <c r="D132" s="14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15">
        <v>0</v>
      </c>
      <c r="L132" s="5">
        <f t="shared" si="6"/>
        <v>0</v>
      </c>
      <c r="M132" s="5">
        <f t="shared" si="7"/>
        <v>0</v>
      </c>
      <c r="N132" s="5" t="str">
        <f t="shared" si="8"/>
        <v>Poor</v>
      </c>
    </row>
    <row r="133" spans="1:14" x14ac:dyDescent="0.3">
      <c r="A133" s="2">
        <v>131</v>
      </c>
      <c r="B133" s="3" t="s">
        <v>273</v>
      </c>
      <c r="C133" s="3" t="s">
        <v>274</v>
      </c>
      <c r="D133" s="14">
        <v>1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15">
        <v>0</v>
      </c>
      <c r="L133" s="5">
        <f t="shared" si="6"/>
        <v>1</v>
      </c>
      <c r="M133" s="5">
        <f t="shared" si="7"/>
        <v>12.5</v>
      </c>
      <c r="N133" s="5" t="str">
        <f t="shared" si="8"/>
        <v>Poor</v>
      </c>
    </row>
    <row r="134" spans="1:14" x14ac:dyDescent="0.3">
      <c r="A134" s="2">
        <v>132</v>
      </c>
      <c r="B134" s="3" t="s">
        <v>275</v>
      </c>
      <c r="C134" s="3" t="s">
        <v>276</v>
      </c>
      <c r="D134" s="14">
        <v>0</v>
      </c>
      <c r="E134" s="7">
        <v>1</v>
      </c>
      <c r="F134" s="7">
        <v>1</v>
      </c>
      <c r="G134" s="7">
        <v>0</v>
      </c>
      <c r="H134" s="7">
        <v>0</v>
      </c>
      <c r="I134" s="7">
        <v>0</v>
      </c>
      <c r="J134" s="7">
        <v>1</v>
      </c>
      <c r="K134" s="15">
        <v>0</v>
      </c>
      <c r="L134" s="5">
        <f t="shared" si="6"/>
        <v>3</v>
      </c>
      <c r="M134" s="5">
        <f t="shared" si="7"/>
        <v>37.5</v>
      </c>
      <c r="N134" s="5" t="str">
        <f t="shared" si="8"/>
        <v>Poor</v>
      </c>
    </row>
    <row r="135" spans="1:14" x14ac:dyDescent="0.3">
      <c r="A135" s="2">
        <v>133</v>
      </c>
      <c r="B135" s="3" t="s">
        <v>277</v>
      </c>
      <c r="C135" s="3" t="s">
        <v>278</v>
      </c>
      <c r="D135" s="14">
        <v>1</v>
      </c>
      <c r="E135" s="7">
        <v>0</v>
      </c>
      <c r="F135" s="7">
        <v>1</v>
      </c>
      <c r="G135" s="7">
        <v>0</v>
      </c>
      <c r="H135" s="7">
        <v>1</v>
      </c>
      <c r="I135" s="7">
        <v>0</v>
      </c>
      <c r="J135" s="7">
        <v>1</v>
      </c>
      <c r="K135" s="16">
        <v>1</v>
      </c>
      <c r="L135" s="5">
        <f t="shared" ref="L135:L136" si="9">SUM(D135:K135)</f>
        <v>5</v>
      </c>
      <c r="M135" s="5">
        <f t="shared" ref="M135:M136" si="10">(L135/8)*100</f>
        <v>62.5</v>
      </c>
      <c r="N135" s="5" t="str">
        <f t="shared" ref="N135:N136" si="11">IF(M135&gt;=85,"Excellent",IF(M135&gt;=70,"Very Good",IF(M135&gt;=60,"Good",IF(M135&gt;=50,"Fair","Poor"))))</f>
        <v>Good</v>
      </c>
    </row>
    <row r="136" spans="1:14" x14ac:dyDescent="0.3">
      <c r="A136" s="2">
        <v>134</v>
      </c>
      <c r="B136" s="3" t="s">
        <v>279</v>
      </c>
      <c r="C136" s="3" t="s">
        <v>280</v>
      </c>
      <c r="D136" s="14">
        <v>1</v>
      </c>
      <c r="E136" s="7">
        <v>1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16">
        <v>1</v>
      </c>
      <c r="L136" s="5">
        <f t="shared" si="9"/>
        <v>4</v>
      </c>
      <c r="M136" s="5">
        <f t="shared" si="10"/>
        <v>50</v>
      </c>
      <c r="N136" s="5" t="str">
        <f t="shared" si="11"/>
        <v>Fair</v>
      </c>
    </row>
  </sheetData>
  <conditionalFormatting sqref="D3:D8 D11:D12 D30 D34">
    <cfRule type="cellIs" dxfId="54" priority="37" operator="equal">
      <formula>0</formula>
    </cfRule>
  </conditionalFormatting>
  <conditionalFormatting sqref="D9:D10">
    <cfRule type="cellIs" dxfId="53" priority="36" operator="equal">
      <formula>0</formula>
    </cfRule>
  </conditionalFormatting>
  <conditionalFormatting sqref="D13:D29">
    <cfRule type="cellIs" dxfId="52" priority="35" operator="equal">
      <formula>0</formula>
    </cfRule>
  </conditionalFormatting>
  <conditionalFormatting sqref="D31:D33">
    <cfRule type="cellIs" dxfId="51" priority="34" operator="equal">
      <formula>0</formula>
    </cfRule>
  </conditionalFormatting>
  <conditionalFormatting sqref="D35:D39">
    <cfRule type="cellIs" dxfId="50" priority="26" operator="equal">
      <formula>0</formula>
    </cfRule>
  </conditionalFormatting>
  <conditionalFormatting sqref="D40 D45 D47:D48 D64 D68">
    <cfRule type="cellIs" dxfId="49" priority="27" operator="equal">
      <formula>0</formula>
    </cfRule>
  </conditionalFormatting>
  <conditionalFormatting sqref="D41:D44">
    <cfRule type="cellIs" dxfId="48" priority="25" operator="equal">
      <formula>0</formula>
    </cfRule>
  </conditionalFormatting>
  <conditionalFormatting sqref="D46">
    <cfRule type="cellIs" dxfId="47" priority="24" operator="equal">
      <formula>0</formula>
    </cfRule>
  </conditionalFormatting>
  <conditionalFormatting sqref="D49:D63">
    <cfRule type="cellIs" dxfId="46" priority="23" operator="equal">
      <formula>0</formula>
    </cfRule>
  </conditionalFormatting>
  <conditionalFormatting sqref="D65:D67">
    <cfRule type="cellIs" dxfId="45" priority="22" operator="equal">
      <formula>0</formula>
    </cfRule>
  </conditionalFormatting>
  <conditionalFormatting sqref="D69">
    <cfRule type="cellIs" dxfId="44" priority="21" operator="equal">
      <formula>0</formula>
    </cfRule>
  </conditionalFormatting>
  <conditionalFormatting sqref="D1:K36">
    <cfRule type="cellIs" dxfId="43" priority="29" operator="equal">
      <formula>0</formula>
    </cfRule>
  </conditionalFormatting>
  <conditionalFormatting sqref="E3:E69">
    <cfRule type="cellIs" dxfId="42" priority="28" operator="equal">
      <formula>0</formula>
    </cfRule>
  </conditionalFormatting>
  <conditionalFormatting sqref="F3:F22">
    <cfRule type="cellIs" dxfId="41" priority="41" operator="equal">
      <formula>0</formula>
    </cfRule>
  </conditionalFormatting>
  <conditionalFormatting sqref="F24:F26">
    <cfRule type="cellIs" dxfId="40" priority="40" operator="equal">
      <formula>0</formula>
    </cfRule>
  </conditionalFormatting>
  <conditionalFormatting sqref="F29:F32">
    <cfRule type="cellIs" dxfId="39" priority="39" operator="equal">
      <formula>0</formula>
    </cfRule>
  </conditionalFormatting>
  <conditionalFormatting sqref="F34:F36">
    <cfRule type="cellIs" dxfId="38" priority="38" operator="equal">
      <formula>0</formula>
    </cfRule>
  </conditionalFormatting>
  <conditionalFormatting sqref="F37:G69">
    <cfRule type="cellIs" dxfId="37" priority="20" operator="equal">
      <formula>0</formula>
    </cfRule>
  </conditionalFormatting>
  <conditionalFormatting sqref="H37:K69">
    <cfRule type="cellIs" dxfId="36" priority="18" operator="equal">
      <formula>0</formula>
    </cfRule>
  </conditionalFormatting>
  <conditionalFormatting sqref="I3">
    <cfRule type="cellIs" dxfId="35" priority="32" operator="equal">
      <formula>0</formula>
    </cfRule>
  </conditionalFormatting>
  <conditionalFormatting sqref="N1:N69 N137:N1048576">
    <cfRule type="cellIs" dxfId="34" priority="13" operator="equal">
      <formula>"Very Good"</formula>
    </cfRule>
    <cfRule type="cellIs" dxfId="33" priority="14" operator="equal">
      <formula>"Fair"</formula>
    </cfRule>
    <cfRule type="cellIs" dxfId="32" priority="15" operator="equal">
      <formula>"Good"</formula>
    </cfRule>
    <cfRule type="cellIs" dxfId="31" priority="16" operator="equal">
      <formula>"Excellent"</formula>
    </cfRule>
    <cfRule type="cellIs" dxfId="30" priority="17" operator="equal">
      <formula>"Poor"</formula>
    </cfRule>
  </conditionalFormatting>
  <conditionalFormatting sqref="N50">
    <cfRule type="cellIs" dxfId="29" priority="12" operator="equal">
      <formula>"Fair"</formula>
    </cfRule>
  </conditionalFormatting>
  <conditionalFormatting sqref="D70:D103">
    <cfRule type="cellIs" dxfId="10" priority="11" operator="equal">
      <formula>0</formula>
    </cfRule>
  </conditionalFormatting>
  <conditionalFormatting sqref="D104:D136">
    <cfRule type="cellIs" dxfId="9" priority="9" operator="equal">
      <formula>0</formula>
    </cfRule>
  </conditionalFormatting>
  <conditionalFormatting sqref="D70:J136">
    <cfRule type="cellIs" dxfId="8" priority="6" operator="equal">
      <formula>0</formula>
    </cfRule>
  </conditionalFormatting>
  <conditionalFormatting sqref="E70:F103">
    <cfRule type="cellIs" dxfId="7" priority="10" operator="equal">
      <formula>0</formula>
    </cfRule>
  </conditionalFormatting>
  <conditionalFormatting sqref="F104:F136">
    <cfRule type="cellIs" dxfId="6" priority="8" operator="equal">
      <formula>0</formula>
    </cfRule>
  </conditionalFormatting>
  <conditionalFormatting sqref="G70:J136">
    <cfRule type="cellIs" dxfId="5" priority="7" operator="equal">
      <formula>0</formula>
    </cfRule>
  </conditionalFormatting>
  <conditionalFormatting sqref="K70:K136">
    <cfRule type="cellIs" dxfId="4" priority="5" operator="equal">
      <formula>1</formula>
    </cfRule>
  </conditionalFormatting>
  <conditionalFormatting sqref="N70:N136">
    <cfRule type="cellIs" dxfId="3" priority="1" operator="equal">
      <formula>"Good"</formula>
    </cfRule>
    <cfRule type="cellIs" dxfId="2" priority="2" operator="equal">
      <formula>"Excellent"</formula>
    </cfRule>
    <cfRule type="cellIs" dxfId="1" priority="4" operator="equal">
      <formula>"Poor"</formula>
    </cfRule>
  </conditionalFormatting>
  <conditionalFormatting sqref="N70:N136">
    <cfRule type="cellIs" dxfId="0" priority="3" operator="equal">
      <formula>"Very Good"</formula>
    </cfRule>
  </conditionalFormatting>
  <pageMargins left="0.7" right="0.7" top="0.75" bottom="0.75" header="0.3" footer="0.3"/>
  <pageSetup paperSize="9" scale="65" fitToHeight="0" orientation="landscape" r:id="rId1"/>
  <headerFooter>
    <oddHeader xml:space="preserve">&amp;L
&amp;C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D2C4-4811-42B7-A72D-10FA9A2E8953}">
  <sheetPr>
    <pageSetUpPr fitToPage="1"/>
  </sheetPr>
  <dimension ref="A1:O72"/>
  <sheetViews>
    <sheetView topLeftCell="C51" zoomScale="115" zoomScaleNormal="115" workbookViewId="0">
      <selection activeCell="B3" sqref="B3:N69"/>
    </sheetView>
  </sheetViews>
  <sheetFormatPr defaultRowHeight="14.4" x14ac:dyDescent="0.3"/>
  <cols>
    <col min="1" max="1" width="8.6640625" bestFit="1" customWidth="1"/>
    <col min="2" max="2" width="13.5546875" bestFit="1" customWidth="1"/>
    <col min="3" max="3" width="32.88671875" bestFit="1" customWidth="1"/>
    <col min="4" max="7" width="11.6640625" bestFit="1" customWidth="1"/>
    <col min="8" max="8" width="11.77734375" bestFit="1" customWidth="1"/>
    <col min="9" max="10" width="11.6640625" bestFit="1" customWidth="1"/>
    <col min="11" max="11" width="15.109375" bestFit="1" customWidth="1"/>
    <col min="12" max="12" width="4.109375" style="6" bestFit="1" customWidth="1"/>
    <col min="13" max="13" width="5.33203125" style="6" bestFit="1" customWidth="1"/>
    <col min="14" max="14" width="19.21875" style="6" bestFit="1" customWidth="1"/>
  </cols>
  <sheetData>
    <row r="1" spans="1:14" ht="15.6" x14ac:dyDescent="0.3">
      <c r="A1" s="17" t="s">
        <v>0</v>
      </c>
      <c r="B1" s="17" t="s">
        <v>1</v>
      </c>
      <c r="C1" s="17" t="s">
        <v>2</v>
      </c>
      <c r="D1" s="9">
        <v>46070</v>
      </c>
      <c r="E1" s="9">
        <v>46077</v>
      </c>
      <c r="F1" s="9">
        <v>46084</v>
      </c>
      <c r="G1" s="9">
        <v>46091</v>
      </c>
      <c r="H1" s="9">
        <v>46098</v>
      </c>
      <c r="I1" s="9">
        <v>46105</v>
      </c>
      <c r="J1" s="9">
        <v>46133</v>
      </c>
      <c r="K1" s="9">
        <v>46160</v>
      </c>
      <c r="L1" s="19" t="s">
        <v>3</v>
      </c>
      <c r="M1" s="19" t="s">
        <v>4</v>
      </c>
      <c r="N1" s="19" t="s">
        <v>281</v>
      </c>
    </row>
    <row r="2" spans="1:14" ht="15.6" x14ac:dyDescent="0.3">
      <c r="A2" s="17"/>
      <c r="B2" s="17"/>
      <c r="C2" s="17"/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9"/>
      <c r="M2" s="19"/>
      <c r="N2" s="19"/>
    </row>
    <row r="3" spans="1:14" ht="15.6" x14ac:dyDescent="0.3">
      <c r="A3" s="2">
        <v>1</v>
      </c>
      <c r="B3" s="3" t="s">
        <v>147</v>
      </c>
      <c r="C3" s="3" t="s">
        <v>148</v>
      </c>
      <c r="D3" s="14">
        <v>0</v>
      </c>
      <c r="E3" s="7">
        <v>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15">
        <v>0</v>
      </c>
      <c r="L3" s="5">
        <f>SUM(D3:K3)</f>
        <v>1</v>
      </c>
      <c r="M3" s="5">
        <f>(L3/8)*100</f>
        <v>12.5</v>
      </c>
      <c r="N3" s="5" t="str">
        <f>IF(M3&gt;=85,"Excellent",IF(M3&gt;=70,"Very Good",IF(M3&gt;=60,"Good",IF(M3&gt;=50,"Fair","Poor"))))</f>
        <v>Poor</v>
      </c>
    </row>
    <row r="4" spans="1:14" ht="15.6" x14ac:dyDescent="0.3">
      <c r="A4" s="2">
        <v>2</v>
      </c>
      <c r="B4" s="3" t="s">
        <v>149</v>
      </c>
      <c r="C4" s="3" t="s">
        <v>150</v>
      </c>
      <c r="D4" s="14">
        <v>1</v>
      </c>
      <c r="E4" s="7">
        <v>1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16">
        <v>1</v>
      </c>
      <c r="L4" s="5">
        <f t="shared" ref="L4:L67" si="0">SUM(D4:K4)</f>
        <v>5</v>
      </c>
      <c r="M4" s="5">
        <f t="shared" ref="M4:M67" si="1">(L4/8)*100</f>
        <v>62.5</v>
      </c>
      <c r="N4" s="5" t="str">
        <f t="shared" ref="N4:N67" si="2">IF(M4&gt;=85,"Excellent",IF(M4&gt;=70,"Very Good",IF(M4&gt;=60,"Good",IF(M4&gt;=50,"Fair","Poor"))))</f>
        <v>Good</v>
      </c>
    </row>
    <row r="5" spans="1:14" ht="15.6" x14ac:dyDescent="0.3">
      <c r="A5" s="2">
        <v>3</v>
      </c>
      <c r="B5" s="3" t="s">
        <v>151</v>
      </c>
      <c r="C5" s="3" t="s">
        <v>152</v>
      </c>
      <c r="D5" s="14">
        <v>1</v>
      </c>
      <c r="E5" s="7">
        <v>1</v>
      </c>
      <c r="F5" s="7">
        <v>0</v>
      </c>
      <c r="G5" s="7">
        <v>0</v>
      </c>
      <c r="H5" s="7">
        <v>0</v>
      </c>
      <c r="I5" s="7">
        <v>1</v>
      </c>
      <c r="J5" s="7">
        <v>1</v>
      </c>
      <c r="K5" s="16">
        <v>1</v>
      </c>
      <c r="L5" s="5">
        <f t="shared" si="0"/>
        <v>5</v>
      </c>
      <c r="M5" s="5">
        <f t="shared" si="1"/>
        <v>62.5</v>
      </c>
      <c r="N5" s="5" t="str">
        <f t="shared" si="2"/>
        <v>Good</v>
      </c>
    </row>
    <row r="6" spans="1:14" ht="15.6" x14ac:dyDescent="0.3">
      <c r="A6" s="2">
        <v>4</v>
      </c>
      <c r="B6" s="3" t="s">
        <v>153</v>
      </c>
      <c r="C6" s="3" t="s">
        <v>154</v>
      </c>
      <c r="D6" s="14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16">
        <v>1</v>
      </c>
      <c r="L6" s="5">
        <f t="shared" si="0"/>
        <v>3</v>
      </c>
      <c r="M6" s="5">
        <f t="shared" si="1"/>
        <v>37.5</v>
      </c>
      <c r="N6" s="5" t="str">
        <f t="shared" si="2"/>
        <v>Poor</v>
      </c>
    </row>
    <row r="7" spans="1:14" ht="15.6" x14ac:dyDescent="0.3">
      <c r="A7" s="2">
        <v>5</v>
      </c>
      <c r="B7" s="3" t="s">
        <v>155</v>
      </c>
      <c r="C7" s="3" t="s">
        <v>156</v>
      </c>
      <c r="D7" s="14">
        <v>1</v>
      </c>
      <c r="E7" s="7">
        <v>1</v>
      </c>
      <c r="F7" s="7">
        <v>1</v>
      </c>
      <c r="G7" s="7">
        <v>0</v>
      </c>
      <c r="H7" s="7">
        <v>0</v>
      </c>
      <c r="I7" s="7">
        <v>1</v>
      </c>
      <c r="J7" s="7">
        <v>1</v>
      </c>
      <c r="K7" s="16">
        <v>1</v>
      </c>
      <c r="L7" s="5">
        <f t="shared" si="0"/>
        <v>6</v>
      </c>
      <c r="M7" s="5">
        <f t="shared" si="1"/>
        <v>75</v>
      </c>
      <c r="N7" s="5" t="str">
        <f t="shared" si="2"/>
        <v>Very Good</v>
      </c>
    </row>
    <row r="8" spans="1:14" ht="15.6" x14ac:dyDescent="0.3">
      <c r="A8" s="2">
        <v>6</v>
      </c>
      <c r="B8" s="3" t="s">
        <v>157</v>
      </c>
      <c r="C8" s="3" t="s">
        <v>158</v>
      </c>
      <c r="D8" s="14">
        <v>0</v>
      </c>
      <c r="E8" s="7">
        <v>1</v>
      </c>
      <c r="F8" s="7">
        <v>1</v>
      </c>
      <c r="G8" s="7">
        <v>1</v>
      </c>
      <c r="H8" s="7">
        <v>0</v>
      </c>
      <c r="I8" s="7">
        <v>1</v>
      </c>
      <c r="J8" s="7">
        <v>1</v>
      </c>
      <c r="K8" s="16">
        <v>1</v>
      </c>
      <c r="L8" s="5">
        <f t="shared" si="0"/>
        <v>6</v>
      </c>
      <c r="M8" s="5">
        <f t="shared" si="1"/>
        <v>75</v>
      </c>
      <c r="N8" s="5" t="str">
        <f t="shared" si="2"/>
        <v>Very Good</v>
      </c>
    </row>
    <row r="9" spans="1:14" ht="15.6" x14ac:dyDescent="0.3">
      <c r="A9" s="2">
        <v>7</v>
      </c>
      <c r="B9" s="3" t="s">
        <v>159</v>
      </c>
      <c r="C9" s="3" t="s">
        <v>160</v>
      </c>
      <c r="D9" s="14">
        <v>1</v>
      </c>
      <c r="E9" s="7">
        <v>1</v>
      </c>
      <c r="F9" s="7">
        <v>0</v>
      </c>
      <c r="G9" s="7">
        <v>0</v>
      </c>
      <c r="H9" s="7">
        <v>0</v>
      </c>
      <c r="I9" s="7">
        <v>1</v>
      </c>
      <c r="J9" s="7">
        <v>1</v>
      </c>
      <c r="K9" s="16">
        <v>1</v>
      </c>
      <c r="L9" s="5">
        <f t="shared" si="0"/>
        <v>5</v>
      </c>
      <c r="M9" s="5">
        <f t="shared" si="1"/>
        <v>62.5</v>
      </c>
      <c r="N9" s="5" t="str">
        <f t="shared" si="2"/>
        <v>Good</v>
      </c>
    </row>
    <row r="10" spans="1:14" ht="15.6" x14ac:dyDescent="0.3">
      <c r="A10" s="2">
        <v>8</v>
      </c>
      <c r="B10" s="3" t="s">
        <v>161</v>
      </c>
      <c r="C10" s="3" t="s">
        <v>162</v>
      </c>
      <c r="D10" s="14">
        <v>1</v>
      </c>
      <c r="E10" s="7">
        <v>1</v>
      </c>
      <c r="F10" s="7">
        <v>1</v>
      </c>
      <c r="G10" s="7">
        <v>0</v>
      </c>
      <c r="H10" s="7">
        <v>1</v>
      </c>
      <c r="I10" s="7">
        <v>1</v>
      </c>
      <c r="J10" s="7">
        <v>0</v>
      </c>
      <c r="K10" s="16">
        <v>1</v>
      </c>
      <c r="L10" s="5">
        <f t="shared" si="0"/>
        <v>6</v>
      </c>
      <c r="M10" s="5">
        <f t="shared" si="1"/>
        <v>75</v>
      </c>
      <c r="N10" s="5" t="str">
        <f t="shared" si="2"/>
        <v>Very Good</v>
      </c>
    </row>
    <row r="11" spans="1:14" ht="15.6" x14ac:dyDescent="0.3">
      <c r="A11" s="2">
        <v>9</v>
      </c>
      <c r="B11" s="3" t="s">
        <v>163</v>
      </c>
      <c r="C11" s="3" t="s">
        <v>164</v>
      </c>
      <c r="D11" s="14">
        <v>1</v>
      </c>
      <c r="E11" s="7">
        <v>1</v>
      </c>
      <c r="F11" s="7">
        <v>1</v>
      </c>
      <c r="G11" s="7">
        <v>1</v>
      </c>
      <c r="H11" s="7">
        <v>0</v>
      </c>
      <c r="I11" s="7">
        <v>1</v>
      </c>
      <c r="J11" s="7">
        <v>0</v>
      </c>
      <c r="K11" s="16">
        <v>1</v>
      </c>
      <c r="L11" s="5">
        <f t="shared" si="0"/>
        <v>6</v>
      </c>
      <c r="M11" s="5">
        <f t="shared" si="1"/>
        <v>75</v>
      </c>
      <c r="N11" s="5" t="str">
        <f t="shared" si="2"/>
        <v>Very Good</v>
      </c>
    </row>
    <row r="12" spans="1:14" ht="15.6" x14ac:dyDescent="0.3">
      <c r="A12" s="2">
        <v>10</v>
      </c>
      <c r="B12" s="3" t="s">
        <v>165</v>
      </c>
      <c r="C12" s="3" t="s">
        <v>166</v>
      </c>
      <c r="D12" s="14">
        <v>1</v>
      </c>
      <c r="E12" s="7">
        <v>1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16">
        <v>1</v>
      </c>
      <c r="L12" s="5">
        <f t="shared" si="0"/>
        <v>5</v>
      </c>
      <c r="M12" s="5">
        <f t="shared" si="1"/>
        <v>62.5</v>
      </c>
      <c r="N12" s="5" t="str">
        <f t="shared" si="2"/>
        <v>Good</v>
      </c>
    </row>
    <row r="13" spans="1:14" ht="15.6" x14ac:dyDescent="0.3">
      <c r="A13" s="2">
        <v>11</v>
      </c>
      <c r="B13" s="3" t="s">
        <v>167</v>
      </c>
      <c r="C13" s="3" t="s">
        <v>168</v>
      </c>
      <c r="D13" s="14">
        <v>0</v>
      </c>
      <c r="E13" s="7">
        <v>1</v>
      </c>
      <c r="F13" s="7">
        <v>0</v>
      </c>
      <c r="G13" s="7">
        <v>1</v>
      </c>
      <c r="H13" s="7">
        <v>0</v>
      </c>
      <c r="I13" s="7">
        <v>0</v>
      </c>
      <c r="J13" s="7">
        <v>1</v>
      </c>
      <c r="K13" s="16">
        <v>1</v>
      </c>
      <c r="L13" s="5">
        <f t="shared" si="0"/>
        <v>4</v>
      </c>
      <c r="M13" s="5">
        <f t="shared" si="1"/>
        <v>50</v>
      </c>
      <c r="N13" s="5" t="str">
        <f t="shared" si="2"/>
        <v>Fair</v>
      </c>
    </row>
    <row r="14" spans="1:14" ht="15.6" x14ac:dyDescent="0.3">
      <c r="A14" s="2">
        <v>12</v>
      </c>
      <c r="B14" s="3" t="s">
        <v>169</v>
      </c>
      <c r="C14" s="3" t="s">
        <v>170</v>
      </c>
      <c r="D14" s="14">
        <v>1</v>
      </c>
      <c r="E14" s="7">
        <v>1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16">
        <v>1</v>
      </c>
      <c r="L14" s="5">
        <f t="shared" si="0"/>
        <v>5</v>
      </c>
      <c r="M14" s="5">
        <f t="shared" si="1"/>
        <v>62.5</v>
      </c>
      <c r="N14" s="5" t="str">
        <f t="shared" si="2"/>
        <v>Good</v>
      </c>
    </row>
    <row r="15" spans="1:14" ht="15.6" x14ac:dyDescent="0.3">
      <c r="A15" s="2">
        <v>13</v>
      </c>
      <c r="B15" s="3" t="s">
        <v>171</v>
      </c>
      <c r="C15" s="3" t="s">
        <v>172</v>
      </c>
      <c r="D15" s="14">
        <v>1</v>
      </c>
      <c r="E15" s="7">
        <v>1</v>
      </c>
      <c r="F15" s="7">
        <v>1</v>
      </c>
      <c r="G15" s="7">
        <v>0</v>
      </c>
      <c r="H15" s="7">
        <v>0</v>
      </c>
      <c r="I15" s="7">
        <v>1</v>
      </c>
      <c r="J15" s="7">
        <v>1</v>
      </c>
      <c r="K15" s="16">
        <v>1</v>
      </c>
      <c r="L15" s="5">
        <f t="shared" si="0"/>
        <v>6</v>
      </c>
      <c r="M15" s="5">
        <f t="shared" si="1"/>
        <v>75</v>
      </c>
      <c r="N15" s="5" t="str">
        <f t="shared" si="2"/>
        <v>Very Good</v>
      </c>
    </row>
    <row r="16" spans="1:14" ht="15.6" x14ac:dyDescent="0.3">
      <c r="A16" s="2">
        <v>14</v>
      </c>
      <c r="B16" s="3" t="s">
        <v>173</v>
      </c>
      <c r="C16" s="3" t="s">
        <v>174</v>
      </c>
      <c r="D16" s="14">
        <v>1</v>
      </c>
      <c r="E16" s="7">
        <v>1</v>
      </c>
      <c r="F16" s="7">
        <v>1</v>
      </c>
      <c r="G16" s="7">
        <v>1</v>
      </c>
      <c r="H16" s="7">
        <v>0</v>
      </c>
      <c r="I16" s="7">
        <v>1</v>
      </c>
      <c r="J16" s="7">
        <v>1</v>
      </c>
      <c r="K16" s="16">
        <v>1</v>
      </c>
      <c r="L16" s="5">
        <f t="shared" si="0"/>
        <v>7</v>
      </c>
      <c r="M16" s="5">
        <f t="shared" si="1"/>
        <v>87.5</v>
      </c>
      <c r="N16" s="5" t="str">
        <f t="shared" si="2"/>
        <v>Excellent</v>
      </c>
    </row>
    <row r="17" spans="1:14" ht="15.6" x14ac:dyDescent="0.3">
      <c r="A17" s="2">
        <v>15</v>
      </c>
      <c r="B17" s="3" t="s">
        <v>175</v>
      </c>
      <c r="C17" s="3" t="s">
        <v>176</v>
      </c>
      <c r="D17" s="14">
        <v>1</v>
      </c>
      <c r="E17" s="7">
        <v>1</v>
      </c>
      <c r="F17" s="7">
        <v>1</v>
      </c>
      <c r="G17" s="7">
        <v>1</v>
      </c>
      <c r="H17" s="7">
        <v>0</v>
      </c>
      <c r="I17" s="7">
        <v>1</v>
      </c>
      <c r="J17" s="7">
        <v>1</v>
      </c>
      <c r="K17" s="16">
        <v>1</v>
      </c>
      <c r="L17" s="5">
        <f t="shared" si="0"/>
        <v>7</v>
      </c>
      <c r="M17" s="5">
        <f t="shared" si="1"/>
        <v>87.5</v>
      </c>
      <c r="N17" s="5" t="str">
        <f t="shared" si="2"/>
        <v>Excellent</v>
      </c>
    </row>
    <row r="18" spans="1:14" ht="15.6" x14ac:dyDescent="0.3">
      <c r="A18" s="2">
        <v>16</v>
      </c>
      <c r="B18" s="3" t="s">
        <v>177</v>
      </c>
      <c r="C18" s="3" t="s">
        <v>178</v>
      </c>
      <c r="D18" s="14">
        <v>1</v>
      </c>
      <c r="E18" s="7">
        <v>1</v>
      </c>
      <c r="F18" s="7">
        <v>1</v>
      </c>
      <c r="G18" s="7">
        <v>1</v>
      </c>
      <c r="H18" s="7">
        <v>0</v>
      </c>
      <c r="I18" s="7">
        <v>1</v>
      </c>
      <c r="J18" s="7">
        <v>1</v>
      </c>
      <c r="K18" s="16">
        <v>1</v>
      </c>
      <c r="L18" s="5">
        <f t="shared" si="0"/>
        <v>7</v>
      </c>
      <c r="M18" s="5">
        <f t="shared" si="1"/>
        <v>87.5</v>
      </c>
      <c r="N18" s="5" t="str">
        <f t="shared" si="2"/>
        <v>Excellent</v>
      </c>
    </row>
    <row r="19" spans="1:14" ht="15.6" x14ac:dyDescent="0.3">
      <c r="A19" s="2">
        <v>17</v>
      </c>
      <c r="B19" s="3" t="s">
        <v>179</v>
      </c>
      <c r="C19" s="3" t="s">
        <v>180</v>
      </c>
      <c r="D19" s="14">
        <v>1</v>
      </c>
      <c r="E19" s="7">
        <v>1</v>
      </c>
      <c r="F19" s="7">
        <v>0</v>
      </c>
      <c r="G19" s="7">
        <v>0</v>
      </c>
      <c r="H19" s="7">
        <v>0</v>
      </c>
      <c r="I19" s="7">
        <v>1</v>
      </c>
      <c r="J19" s="7">
        <v>1</v>
      </c>
      <c r="K19" s="16">
        <v>1</v>
      </c>
      <c r="L19" s="5">
        <f t="shared" si="0"/>
        <v>5</v>
      </c>
      <c r="M19" s="5">
        <f t="shared" si="1"/>
        <v>62.5</v>
      </c>
      <c r="N19" s="5" t="str">
        <f t="shared" si="2"/>
        <v>Good</v>
      </c>
    </row>
    <row r="20" spans="1:14" ht="15.6" x14ac:dyDescent="0.3">
      <c r="A20" s="2">
        <v>18</v>
      </c>
      <c r="B20" s="3" t="s">
        <v>181</v>
      </c>
      <c r="C20" s="3" t="s">
        <v>182</v>
      </c>
      <c r="D20" s="14">
        <v>0</v>
      </c>
      <c r="E20" s="7">
        <v>1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15">
        <v>0</v>
      </c>
      <c r="L20" s="5">
        <f t="shared" si="0"/>
        <v>2</v>
      </c>
      <c r="M20" s="5">
        <f t="shared" si="1"/>
        <v>25</v>
      </c>
      <c r="N20" s="5" t="str">
        <f t="shared" si="2"/>
        <v>Poor</v>
      </c>
    </row>
    <row r="21" spans="1:14" ht="15.6" x14ac:dyDescent="0.3">
      <c r="A21" s="2">
        <v>19</v>
      </c>
      <c r="B21" s="3" t="s">
        <v>183</v>
      </c>
      <c r="C21" s="3" t="s">
        <v>184</v>
      </c>
      <c r="D21" s="14">
        <v>1</v>
      </c>
      <c r="E21" s="7">
        <v>1</v>
      </c>
      <c r="F21" s="7">
        <v>1</v>
      </c>
      <c r="G21" s="7">
        <v>0</v>
      </c>
      <c r="H21" s="7">
        <v>0</v>
      </c>
      <c r="I21" s="7">
        <v>0</v>
      </c>
      <c r="J21" s="7">
        <v>1</v>
      </c>
      <c r="K21" s="16">
        <v>1</v>
      </c>
      <c r="L21" s="5">
        <f t="shared" si="0"/>
        <v>5</v>
      </c>
      <c r="M21" s="5">
        <f t="shared" si="1"/>
        <v>62.5</v>
      </c>
      <c r="N21" s="5" t="str">
        <f t="shared" si="2"/>
        <v>Good</v>
      </c>
    </row>
    <row r="22" spans="1:14" ht="15.6" x14ac:dyDescent="0.3">
      <c r="A22" s="2">
        <v>20</v>
      </c>
      <c r="B22" s="3" t="s">
        <v>185</v>
      </c>
      <c r="C22" s="3" t="s">
        <v>186</v>
      </c>
      <c r="D22" s="14">
        <v>1</v>
      </c>
      <c r="E22" s="7">
        <v>1</v>
      </c>
      <c r="F22" s="7">
        <v>0</v>
      </c>
      <c r="G22" s="7">
        <v>0</v>
      </c>
      <c r="H22" s="7">
        <v>1</v>
      </c>
      <c r="I22" s="7">
        <v>0</v>
      </c>
      <c r="J22" s="7">
        <v>1</v>
      </c>
      <c r="K22" s="16">
        <v>1</v>
      </c>
      <c r="L22" s="5">
        <f t="shared" si="0"/>
        <v>5</v>
      </c>
      <c r="M22" s="5">
        <f t="shared" si="1"/>
        <v>62.5</v>
      </c>
      <c r="N22" s="5" t="str">
        <f t="shared" si="2"/>
        <v>Good</v>
      </c>
    </row>
    <row r="23" spans="1:14" ht="15.6" x14ac:dyDescent="0.3">
      <c r="A23" s="2">
        <v>21</v>
      </c>
      <c r="B23" s="3" t="s">
        <v>187</v>
      </c>
      <c r="C23" s="3" t="s">
        <v>188</v>
      </c>
      <c r="D23" s="14">
        <v>1</v>
      </c>
      <c r="E23" s="7">
        <v>1</v>
      </c>
      <c r="F23" s="7">
        <v>0</v>
      </c>
      <c r="G23" s="7">
        <v>1</v>
      </c>
      <c r="H23" s="7">
        <v>1</v>
      </c>
      <c r="I23" s="7">
        <v>0</v>
      </c>
      <c r="J23" s="7">
        <v>0</v>
      </c>
      <c r="K23" s="16">
        <v>1</v>
      </c>
      <c r="L23" s="5">
        <f t="shared" si="0"/>
        <v>5</v>
      </c>
      <c r="M23" s="5">
        <f t="shared" si="1"/>
        <v>62.5</v>
      </c>
      <c r="N23" s="5" t="str">
        <f t="shared" si="2"/>
        <v>Good</v>
      </c>
    </row>
    <row r="24" spans="1:14" ht="15.6" x14ac:dyDescent="0.3">
      <c r="A24" s="2">
        <v>22</v>
      </c>
      <c r="B24" s="3" t="s">
        <v>189</v>
      </c>
      <c r="C24" s="3" t="s">
        <v>190</v>
      </c>
      <c r="D24" s="14">
        <v>1</v>
      </c>
      <c r="E24" s="7">
        <v>1</v>
      </c>
      <c r="F24" s="7">
        <v>1</v>
      </c>
      <c r="G24" s="7">
        <v>1</v>
      </c>
      <c r="H24" s="7">
        <v>0</v>
      </c>
      <c r="I24" s="7">
        <v>1</v>
      </c>
      <c r="J24" s="7">
        <v>1</v>
      </c>
      <c r="K24" s="16">
        <v>1</v>
      </c>
      <c r="L24" s="5">
        <f t="shared" si="0"/>
        <v>7</v>
      </c>
      <c r="M24" s="5">
        <f t="shared" si="1"/>
        <v>87.5</v>
      </c>
      <c r="N24" s="5" t="str">
        <f t="shared" si="2"/>
        <v>Excellent</v>
      </c>
    </row>
    <row r="25" spans="1:14" ht="15.6" x14ac:dyDescent="0.3">
      <c r="A25" s="2">
        <v>23</v>
      </c>
      <c r="B25" s="3" t="s">
        <v>191</v>
      </c>
      <c r="C25" s="3" t="s">
        <v>192</v>
      </c>
      <c r="D25" s="14">
        <v>1</v>
      </c>
      <c r="E25" s="7">
        <v>0</v>
      </c>
      <c r="F25" s="7">
        <v>1</v>
      </c>
      <c r="G25" s="7">
        <v>1</v>
      </c>
      <c r="H25" s="7">
        <v>0</v>
      </c>
      <c r="I25" s="7">
        <v>1</v>
      </c>
      <c r="J25" s="7">
        <v>1</v>
      </c>
      <c r="K25" s="16">
        <v>1</v>
      </c>
      <c r="L25" s="5">
        <f t="shared" si="0"/>
        <v>6</v>
      </c>
      <c r="M25" s="5">
        <f t="shared" si="1"/>
        <v>75</v>
      </c>
      <c r="N25" s="5" t="str">
        <f t="shared" si="2"/>
        <v>Very Good</v>
      </c>
    </row>
    <row r="26" spans="1:14" ht="15.6" x14ac:dyDescent="0.3">
      <c r="A26" s="2">
        <v>24</v>
      </c>
      <c r="B26" s="3" t="s">
        <v>193</v>
      </c>
      <c r="C26" s="3" t="s">
        <v>194</v>
      </c>
      <c r="D26" s="14">
        <v>1</v>
      </c>
      <c r="E26" s="7">
        <v>0</v>
      </c>
      <c r="F26" s="7">
        <v>0</v>
      </c>
      <c r="G26" s="7">
        <v>1</v>
      </c>
      <c r="H26" s="7">
        <v>0</v>
      </c>
      <c r="I26" s="7">
        <v>1</v>
      </c>
      <c r="J26" s="7">
        <v>1</v>
      </c>
      <c r="K26" s="15">
        <v>0</v>
      </c>
      <c r="L26" s="5">
        <f t="shared" si="0"/>
        <v>4</v>
      </c>
      <c r="M26" s="5">
        <f t="shared" si="1"/>
        <v>50</v>
      </c>
      <c r="N26" s="5" t="str">
        <f t="shared" si="2"/>
        <v>Fair</v>
      </c>
    </row>
    <row r="27" spans="1:14" ht="15.6" x14ac:dyDescent="0.3">
      <c r="A27" s="2">
        <v>25</v>
      </c>
      <c r="B27" s="3" t="s">
        <v>195</v>
      </c>
      <c r="C27" s="3" t="s">
        <v>196</v>
      </c>
      <c r="D27" s="14">
        <v>1</v>
      </c>
      <c r="E27" s="7">
        <v>1</v>
      </c>
      <c r="F27" s="7">
        <v>1</v>
      </c>
      <c r="G27" s="7">
        <v>0</v>
      </c>
      <c r="H27" s="7">
        <v>0</v>
      </c>
      <c r="I27" s="7">
        <v>0</v>
      </c>
      <c r="J27" s="7">
        <v>1</v>
      </c>
      <c r="K27" s="16">
        <v>1</v>
      </c>
      <c r="L27" s="5">
        <f t="shared" si="0"/>
        <v>5</v>
      </c>
      <c r="M27" s="5">
        <f t="shared" si="1"/>
        <v>62.5</v>
      </c>
      <c r="N27" s="5" t="str">
        <f t="shared" si="2"/>
        <v>Good</v>
      </c>
    </row>
    <row r="28" spans="1:14" ht="15.6" x14ac:dyDescent="0.3">
      <c r="A28" s="2">
        <v>26</v>
      </c>
      <c r="B28" s="3" t="s">
        <v>197</v>
      </c>
      <c r="C28" s="3" t="s">
        <v>198</v>
      </c>
      <c r="D28" s="14">
        <v>1</v>
      </c>
      <c r="E28" s="7">
        <v>1</v>
      </c>
      <c r="F28" s="7">
        <v>1</v>
      </c>
      <c r="G28" s="7">
        <v>0</v>
      </c>
      <c r="H28" s="7">
        <v>0</v>
      </c>
      <c r="I28" s="7">
        <v>1</v>
      </c>
      <c r="J28" s="7">
        <v>0</v>
      </c>
      <c r="K28" s="16">
        <v>1</v>
      </c>
      <c r="L28" s="5">
        <f t="shared" si="0"/>
        <v>5</v>
      </c>
      <c r="M28" s="5">
        <f t="shared" si="1"/>
        <v>62.5</v>
      </c>
      <c r="N28" s="5" t="str">
        <f t="shared" si="2"/>
        <v>Good</v>
      </c>
    </row>
    <row r="29" spans="1:14" ht="15.6" x14ac:dyDescent="0.3">
      <c r="A29" s="2">
        <v>27</v>
      </c>
      <c r="B29" s="3" t="s">
        <v>199</v>
      </c>
      <c r="C29" s="3" t="s">
        <v>200</v>
      </c>
      <c r="D29" s="14">
        <v>1</v>
      </c>
      <c r="E29" s="7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5">
        <v>0</v>
      </c>
      <c r="L29" s="5">
        <f t="shared" si="0"/>
        <v>2</v>
      </c>
      <c r="M29" s="5">
        <f t="shared" si="1"/>
        <v>25</v>
      </c>
      <c r="N29" s="5" t="str">
        <f t="shared" si="2"/>
        <v>Poor</v>
      </c>
    </row>
    <row r="30" spans="1:14" ht="15.6" x14ac:dyDescent="0.3">
      <c r="A30" s="2">
        <v>28</v>
      </c>
      <c r="B30" s="3" t="s">
        <v>201</v>
      </c>
      <c r="C30" s="3" t="s">
        <v>202</v>
      </c>
      <c r="D30" s="14">
        <v>1</v>
      </c>
      <c r="E30" s="7">
        <v>1</v>
      </c>
      <c r="F30" s="7">
        <v>0</v>
      </c>
      <c r="G30" s="7">
        <v>1</v>
      </c>
      <c r="H30" s="7">
        <v>1</v>
      </c>
      <c r="I30" s="7">
        <v>0</v>
      </c>
      <c r="J30" s="7">
        <v>1</v>
      </c>
      <c r="K30" s="16">
        <v>1</v>
      </c>
      <c r="L30" s="5">
        <f t="shared" si="0"/>
        <v>6</v>
      </c>
      <c r="M30" s="5">
        <f t="shared" si="1"/>
        <v>75</v>
      </c>
      <c r="N30" s="5" t="str">
        <f t="shared" si="2"/>
        <v>Very Good</v>
      </c>
    </row>
    <row r="31" spans="1:14" ht="15.6" x14ac:dyDescent="0.3">
      <c r="A31" s="2">
        <v>29</v>
      </c>
      <c r="B31" s="3" t="s">
        <v>203</v>
      </c>
      <c r="C31" s="3" t="s">
        <v>204</v>
      </c>
      <c r="D31" s="14">
        <v>0</v>
      </c>
      <c r="E31" s="7">
        <v>1</v>
      </c>
      <c r="F31" s="7">
        <v>1</v>
      </c>
      <c r="G31" s="7">
        <v>0</v>
      </c>
      <c r="H31" s="7">
        <v>0</v>
      </c>
      <c r="I31" s="7">
        <v>1</v>
      </c>
      <c r="J31" s="7">
        <v>0</v>
      </c>
      <c r="K31" s="16">
        <v>1</v>
      </c>
      <c r="L31" s="5">
        <f t="shared" si="0"/>
        <v>4</v>
      </c>
      <c r="M31" s="5">
        <f t="shared" si="1"/>
        <v>50</v>
      </c>
      <c r="N31" s="5" t="str">
        <f t="shared" si="2"/>
        <v>Fair</v>
      </c>
    </row>
    <row r="32" spans="1:14" ht="15.6" x14ac:dyDescent="0.3">
      <c r="A32" s="2">
        <v>30</v>
      </c>
      <c r="B32" s="3" t="s">
        <v>205</v>
      </c>
      <c r="C32" s="3" t="s">
        <v>206</v>
      </c>
      <c r="D32" s="14">
        <v>0</v>
      </c>
      <c r="E32" s="7">
        <v>0</v>
      </c>
      <c r="F32" s="7">
        <v>0</v>
      </c>
      <c r="G32" s="7">
        <v>1</v>
      </c>
      <c r="H32" s="7">
        <v>0</v>
      </c>
      <c r="I32" s="7">
        <v>0</v>
      </c>
      <c r="J32" s="7">
        <v>0</v>
      </c>
      <c r="K32" s="15">
        <v>0</v>
      </c>
      <c r="L32" s="5">
        <f t="shared" si="0"/>
        <v>1</v>
      </c>
      <c r="M32" s="5">
        <f t="shared" si="1"/>
        <v>12.5</v>
      </c>
      <c r="N32" s="5" t="str">
        <f t="shared" si="2"/>
        <v>Poor</v>
      </c>
    </row>
    <row r="33" spans="1:14" ht="15.6" x14ac:dyDescent="0.3">
      <c r="A33" s="2">
        <v>31</v>
      </c>
      <c r="B33" s="3" t="s">
        <v>207</v>
      </c>
      <c r="C33" s="3" t="s">
        <v>208</v>
      </c>
      <c r="D33" s="14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15">
        <v>0</v>
      </c>
      <c r="L33" s="5">
        <f t="shared" si="0"/>
        <v>0</v>
      </c>
      <c r="M33" s="5">
        <f t="shared" si="1"/>
        <v>0</v>
      </c>
      <c r="N33" s="5" t="str">
        <f t="shared" si="2"/>
        <v>Poor</v>
      </c>
    </row>
    <row r="34" spans="1:14" ht="15.6" x14ac:dyDescent="0.3">
      <c r="A34" s="2">
        <v>32</v>
      </c>
      <c r="B34" s="3" t="s">
        <v>209</v>
      </c>
      <c r="C34" s="3" t="s">
        <v>210</v>
      </c>
      <c r="D34" s="14">
        <v>1</v>
      </c>
      <c r="E34" s="7">
        <v>1</v>
      </c>
      <c r="F34" s="7">
        <v>1</v>
      </c>
      <c r="G34" s="7">
        <v>0</v>
      </c>
      <c r="H34" s="7">
        <v>0</v>
      </c>
      <c r="I34" s="7">
        <v>1</v>
      </c>
      <c r="J34" s="7">
        <v>1</v>
      </c>
      <c r="K34" s="16">
        <v>1</v>
      </c>
      <c r="L34" s="5">
        <f t="shared" si="0"/>
        <v>6</v>
      </c>
      <c r="M34" s="5">
        <f t="shared" si="1"/>
        <v>75</v>
      </c>
      <c r="N34" s="5" t="str">
        <f t="shared" si="2"/>
        <v>Very Good</v>
      </c>
    </row>
    <row r="35" spans="1:14" ht="15.6" x14ac:dyDescent="0.3">
      <c r="A35" s="2">
        <v>33</v>
      </c>
      <c r="B35" s="3" t="s">
        <v>211</v>
      </c>
      <c r="C35" s="3" t="s">
        <v>212</v>
      </c>
      <c r="D35" s="14">
        <v>1</v>
      </c>
      <c r="E35" s="7">
        <v>1</v>
      </c>
      <c r="F35" s="7">
        <v>1</v>
      </c>
      <c r="G35" s="7">
        <v>0</v>
      </c>
      <c r="H35" s="7">
        <v>0</v>
      </c>
      <c r="I35" s="7">
        <v>1</v>
      </c>
      <c r="J35" s="7">
        <v>1</v>
      </c>
      <c r="K35" s="16">
        <v>1</v>
      </c>
      <c r="L35" s="5">
        <f t="shared" si="0"/>
        <v>6</v>
      </c>
      <c r="M35" s="5">
        <f t="shared" si="1"/>
        <v>75</v>
      </c>
      <c r="N35" s="5" t="str">
        <f t="shared" si="2"/>
        <v>Very Good</v>
      </c>
    </row>
    <row r="36" spans="1:14" ht="15.6" x14ac:dyDescent="0.3">
      <c r="A36" s="2">
        <v>34</v>
      </c>
      <c r="B36" s="3" t="s">
        <v>213</v>
      </c>
      <c r="C36" s="3" t="s">
        <v>214</v>
      </c>
      <c r="D36" s="14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15">
        <v>0</v>
      </c>
      <c r="L36" s="5">
        <f t="shared" si="0"/>
        <v>0</v>
      </c>
      <c r="M36" s="5">
        <f t="shared" si="1"/>
        <v>0</v>
      </c>
      <c r="N36" s="5" t="str">
        <f t="shared" si="2"/>
        <v>Poor</v>
      </c>
    </row>
    <row r="37" spans="1:14" ht="15.6" x14ac:dyDescent="0.3">
      <c r="A37" s="2">
        <v>35</v>
      </c>
      <c r="B37" s="3" t="s">
        <v>215</v>
      </c>
      <c r="C37" s="3" t="s">
        <v>216</v>
      </c>
      <c r="D37" s="14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6">
        <v>1</v>
      </c>
      <c r="L37" s="5">
        <f t="shared" si="0"/>
        <v>2</v>
      </c>
      <c r="M37" s="5">
        <f t="shared" si="1"/>
        <v>25</v>
      </c>
      <c r="N37" s="5" t="str">
        <f t="shared" si="2"/>
        <v>Poor</v>
      </c>
    </row>
    <row r="38" spans="1:14" ht="15.6" x14ac:dyDescent="0.3">
      <c r="A38" s="2">
        <v>36</v>
      </c>
      <c r="B38" s="3" t="s">
        <v>217</v>
      </c>
      <c r="C38" s="3" t="s">
        <v>218</v>
      </c>
      <c r="D38" s="14">
        <v>1</v>
      </c>
      <c r="E38" s="7">
        <v>1</v>
      </c>
      <c r="F38" s="7">
        <v>1</v>
      </c>
      <c r="G38" s="7">
        <v>1</v>
      </c>
      <c r="H38" s="7">
        <v>0</v>
      </c>
      <c r="I38" s="7">
        <v>1</v>
      </c>
      <c r="J38" s="7">
        <v>0</v>
      </c>
      <c r="K38" s="16">
        <v>1</v>
      </c>
      <c r="L38" s="5">
        <f t="shared" si="0"/>
        <v>6</v>
      </c>
      <c r="M38" s="5">
        <f t="shared" si="1"/>
        <v>75</v>
      </c>
      <c r="N38" s="5" t="str">
        <f t="shared" si="2"/>
        <v>Very Good</v>
      </c>
    </row>
    <row r="39" spans="1:14" ht="15.6" x14ac:dyDescent="0.3">
      <c r="A39" s="2">
        <v>37</v>
      </c>
      <c r="B39" s="3" t="s">
        <v>219</v>
      </c>
      <c r="C39" s="3" t="s">
        <v>220</v>
      </c>
      <c r="D39" s="14">
        <v>1</v>
      </c>
      <c r="E39" s="7">
        <v>1</v>
      </c>
      <c r="F39" s="7">
        <v>0</v>
      </c>
      <c r="G39" s="7">
        <v>0</v>
      </c>
      <c r="H39" s="7">
        <v>0</v>
      </c>
      <c r="I39" s="7">
        <v>1</v>
      </c>
      <c r="J39" s="7">
        <v>1</v>
      </c>
      <c r="K39" s="16">
        <v>1</v>
      </c>
      <c r="L39" s="5">
        <f t="shared" si="0"/>
        <v>5</v>
      </c>
      <c r="M39" s="5">
        <f t="shared" si="1"/>
        <v>62.5</v>
      </c>
      <c r="N39" s="5" t="str">
        <f t="shared" si="2"/>
        <v>Good</v>
      </c>
    </row>
    <row r="40" spans="1:14" ht="15.6" x14ac:dyDescent="0.3">
      <c r="A40" s="2">
        <v>38</v>
      </c>
      <c r="B40" s="3" t="s">
        <v>221</v>
      </c>
      <c r="C40" s="3" t="s">
        <v>222</v>
      </c>
      <c r="D40" s="14">
        <v>1</v>
      </c>
      <c r="E40" s="7">
        <v>1</v>
      </c>
      <c r="F40" s="7">
        <v>1</v>
      </c>
      <c r="G40" s="7">
        <v>0</v>
      </c>
      <c r="H40" s="7">
        <v>0</v>
      </c>
      <c r="I40" s="7">
        <v>1</v>
      </c>
      <c r="J40" s="7">
        <v>1</v>
      </c>
      <c r="K40" s="16">
        <v>1</v>
      </c>
      <c r="L40" s="5">
        <f t="shared" si="0"/>
        <v>6</v>
      </c>
      <c r="M40" s="5">
        <f t="shared" si="1"/>
        <v>75</v>
      </c>
      <c r="N40" s="5" t="str">
        <f t="shared" si="2"/>
        <v>Very Good</v>
      </c>
    </row>
    <row r="41" spans="1:14" ht="15.6" x14ac:dyDescent="0.3">
      <c r="A41" s="2">
        <v>39</v>
      </c>
      <c r="B41" s="3" t="s">
        <v>223</v>
      </c>
      <c r="C41" s="3" t="s">
        <v>224</v>
      </c>
      <c r="D41" s="14">
        <v>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15">
        <v>0</v>
      </c>
      <c r="L41" s="5">
        <f t="shared" si="0"/>
        <v>1</v>
      </c>
      <c r="M41" s="5">
        <f t="shared" si="1"/>
        <v>12.5</v>
      </c>
      <c r="N41" s="5" t="str">
        <f t="shared" si="2"/>
        <v>Poor</v>
      </c>
    </row>
    <row r="42" spans="1:14" ht="15.6" x14ac:dyDescent="0.3">
      <c r="A42" s="2">
        <v>40</v>
      </c>
      <c r="B42" s="3" t="s">
        <v>225</v>
      </c>
      <c r="C42" s="3" t="s">
        <v>226</v>
      </c>
      <c r="D42" s="14">
        <v>1</v>
      </c>
      <c r="E42" s="7">
        <v>1</v>
      </c>
      <c r="F42" s="7">
        <v>0</v>
      </c>
      <c r="G42" s="7">
        <v>0</v>
      </c>
      <c r="H42" s="7">
        <v>0</v>
      </c>
      <c r="I42" s="7">
        <v>0</v>
      </c>
      <c r="J42" s="7">
        <v>1</v>
      </c>
      <c r="K42" s="16">
        <v>1</v>
      </c>
      <c r="L42" s="5">
        <f t="shared" si="0"/>
        <v>4</v>
      </c>
      <c r="M42" s="5">
        <f t="shared" si="1"/>
        <v>50</v>
      </c>
      <c r="N42" s="5" t="str">
        <f t="shared" si="2"/>
        <v>Fair</v>
      </c>
    </row>
    <row r="43" spans="1:14" ht="15.6" x14ac:dyDescent="0.3">
      <c r="A43" s="2">
        <v>41</v>
      </c>
      <c r="B43" s="3" t="s">
        <v>227</v>
      </c>
      <c r="C43" s="3" t="s">
        <v>228</v>
      </c>
      <c r="D43" s="14">
        <v>1</v>
      </c>
      <c r="E43" s="7">
        <v>1</v>
      </c>
      <c r="F43" s="7">
        <v>1</v>
      </c>
      <c r="G43" s="7">
        <v>0</v>
      </c>
      <c r="H43" s="7">
        <v>0</v>
      </c>
      <c r="I43" s="7">
        <v>1</v>
      </c>
      <c r="J43" s="7">
        <v>1</v>
      </c>
      <c r="K43" s="16">
        <v>1</v>
      </c>
      <c r="L43" s="5">
        <f t="shared" si="0"/>
        <v>6</v>
      </c>
      <c r="M43" s="5">
        <f t="shared" si="1"/>
        <v>75</v>
      </c>
      <c r="N43" s="5" t="str">
        <f t="shared" si="2"/>
        <v>Very Good</v>
      </c>
    </row>
    <row r="44" spans="1:14" ht="15.6" x14ac:dyDescent="0.3">
      <c r="A44" s="2">
        <v>42</v>
      </c>
      <c r="B44" s="3" t="s">
        <v>229</v>
      </c>
      <c r="C44" s="3" t="s">
        <v>230</v>
      </c>
      <c r="D44" s="14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15">
        <v>0</v>
      </c>
      <c r="L44" s="5">
        <f t="shared" si="0"/>
        <v>0</v>
      </c>
      <c r="M44" s="5">
        <f t="shared" si="1"/>
        <v>0</v>
      </c>
      <c r="N44" s="5" t="str">
        <f t="shared" si="2"/>
        <v>Poor</v>
      </c>
    </row>
    <row r="45" spans="1:14" ht="15.6" x14ac:dyDescent="0.3">
      <c r="A45" s="2">
        <v>43</v>
      </c>
      <c r="B45" s="3" t="s">
        <v>231</v>
      </c>
      <c r="C45" s="3" t="s">
        <v>232</v>
      </c>
      <c r="D45" s="14">
        <v>1</v>
      </c>
      <c r="E45" s="7">
        <v>1</v>
      </c>
      <c r="F45" s="7">
        <v>1</v>
      </c>
      <c r="G45" s="7">
        <v>0</v>
      </c>
      <c r="H45" s="7">
        <v>1</v>
      </c>
      <c r="I45" s="7">
        <v>0</v>
      </c>
      <c r="J45" s="7">
        <v>1</v>
      </c>
      <c r="K45" s="16">
        <v>1</v>
      </c>
      <c r="L45" s="5">
        <f t="shared" si="0"/>
        <v>6</v>
      </c>
      <c r="M45" s="5">
        <f t="shared" si="1"/>
        <v>75</v>
      </c>
      <c r="N45" s="5" t="str">
        <f t="shared" si="2"/>
        <v>Very Good</v>
      </c>
    </row>
    <row r="46" spans="1:14" ht="15.6" x14ac:dyDescent="0.3">
      <c r="A46" s="2">
        <v>44</v>
      </c>
      <c r="B46" s="3" t="s">
        <v>233</v>
      </c>
      <c r="C46" s="3" t="s">
        <v>234</v>
      </c>
      <c r="D46" s="14">
        <v>1</v>
      </c>
      <c r="E46" s="7">
        <v>1</v>
      </c>
      <c r="F46" s="7">
        <v>1</v>
      </c>
      <c r="G46" s="7">
        <v>0</v>
      </c>
      <c r="H46" s="7">
        <v>0</v>
      </c>
      <c r="I46" s="7">
        <v>1</v>
      </c>
      <c r="J46" s="7">
        <v>1</v>
      </c>
      <c r="K46" s="16">
        <v>1</v>
      </c>
      <c r="L46" s="5">
        <f t="shared" si="0"/>
        <v>6</v>
      </c>
      <c r="M46" s="5">
        <f t="shared" si="1"/>
        <v>75</v>
      </c>
      <c r="N46" s="5" t="str">
        <f t="shared" si="2"/>
        <v>Very Good</v>
      </c>
    </row>
    <row r="47" spans="1:14" ht="15.6" x14ac:dyDescent="0.3">
      <c r="A47" s="2">
        <v>45</v>
      </c>
      <c r="B47" s="3" t="s">
        <v>235</v>
      </c>
      <c r="C47" s="3" t="s">
        <v>236</v>
      </c>
      <c r="D47" s="14">
        <v>1</v>
      </c>
      <c r="E47" s="7">
        <v>1</v>
      </c>
      <c r="F47" s="7">
        <v>1</v>
      </c>
      <c r="G47" s="7">
        <v>0</v>
      </c>
      <c r="H47" s="7">
        <v>0</v>
      </c>
      <c r="I47" s="7">
        <v>1</v>
      </c>
      <c r="J47" s="7">
        <v>1</v>
      </c>
      <c r="K47" s="16">
        <v>1</v>
      </c>
      <c r="L47" s="5">
        <f t="shared" si="0"/>
        <v>6</v>
      </c>
      <c r="M47" s="5">
        <f t="shared" si="1"/>
        <v>75</v>
      </c>
      <c r="N47" s="5" t="str">
        <f t="shared" si="2"/>
        <v>Very Good</v>
      </c>
    </row>
    <row r="48" spans="1:14" ht="15.6" x14ac:dyDescent="0.3">
      <c r="A48" s="2">
        <v>46</v>
      </c>
      <c r="B48" s="3" t="s">
        <v>237</v>
      </c>
      <c r="C48" s="3" t="s">
        <v>238</v>
      </c>
      <c r="D48" s="14">
        <v>1</v>
      </c>
      <c r="E48" s="7">
        <v>1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16">
        <v>1</v>
      </c>
      <c r="L48" s="5">
        <f t="shared" si="0"/>
        <v>4</v>
      </c>
      <c r="M48" s="5">
        <f t="shared" si="1"/>
        <v>50</v>
      </c>
      <c r="N48" s="5" t="str">
        <f t="shared" si="2"/>
        <v>Fair</v>
      </c>
    </row>
    <row r="49" spans="1:14" ht="15.6" x14ac:dyDescent="0.3">
      <c r="A49" s="2">
        <v>47</v>
      </c>
      <c r="B49" s="3" t="s">
        <v>239</v>
      </c>
      <c r="C49" s="3" t="s">
        <v>240</v>
      </c>
      <c r="D49" s="14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16">
        <v>1</v>
      </c>
      <c r="L49" s="5">
        <f t="shared" si="0"/>
        <v>8</v>
      </c>
      <c r="M49" s="5">
        <f t="shared" si="1"/>
        <v>100</v>
      </c>
      <c r="N49" s="5" t="str">
        <f t="shared" si="2"/>
        <v>Excellent</v>
      </c>
    </row>
    <row r="50" spans="1:14" ht="15.6" x14ac:dyDescent="0.3">
      <c r="A50" s="2">
        <v>48</v>
      </c>
      <c r="B50" s="3" t="s">
        <v>241</v>
      </c>
      <c r="C50" s="3" t="s">
        <v>242</v>
      </c>
      <c r="D50" s="14">
        <v>0</v>
      </c>
      <c r="E50" s="7">
        <v>1</v>
      </c>
      <c r="F50" s="7">
        <v>0</v>
      </c>
      <c r="G50" s="7">
        <v>0</v>
      </c>
      <c r="H50" s="7">
        <v>0</v>
      </c>
      <c r="I50" s="7">
        <v>1</v>
      </c>
      <c r="J50" s="7">
        <v>1</v>
      </c>
      <c r="K50" s="15">
        <v>0</v>
      </c>
      <c r="L50" s="5">
        <f t="shared" si="0"/>
        <v>3</v>
      </c>
      <c r="M50" s="5">
        <f t="shared" si="1"/>
        <v>37.5</v>
      </c>
      <c r="N50" s="5" t="str">
        <f t="shared" si="2"/>
        <v>Poor</v>
      </c>
    </row>
    <row r="51" spans="1:14" ht="15.6" x14ac:dyDescent="0.3">
      <c r="A51" s="2">
        <v>49</v>
      </c>
      <c r="B51" s="3" t="s">
        <v>243</v>
      </c>
      <c r="C51" s="3" t="s">
        <v>244</v>
      </c>
      <c r="D51" s="14">
        <v>1</v>
      </c>
      <c r="E51" s="7">
        <v>1</v>
      </c>
      <c r="F51" s="7">
        <v>1</v>
      </c>
      <c r="G51" s="7">
        <v>1</v>
      </c>
      <c r="H51" s="7">
        <v>0</v>
      </c>
      <c r="I51" s="7">
        <v>1</v>
      </c>
      <c r="J51" s="7">
        <v>0</v>
      </c>
      <c r="K51" s="16">
        <v>1</v>
      </c>
      <c r="L51" s="5">
        <f t="shared" si="0"/>
        <v>6</v>
      </c>
      <c r="M51" s="5">
        <f t="shared" si="1"/>
        <v>75</v>
      </c>
      <c r="N51" s="5" t="str">
        <f t="shared" si="2"/>
        <v>Very Good</v>
      </c>
    </row>
    <row r="52" spans="1:14" ht="15.6" x14ac:dyDescent="0.3">
      <c r="A52" s="2">
        <v>50</v>
      </c>
      <c r="B52" s="3" t="s">
        <v>245</v>
      </c>
      <c r="C52" s="3" t="s">
        <v>246</v>
      </c>
      <c r="D52" s="14">
        <v>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16">
        <v>1</v>
      </c>
      <c r="L52" s="5">
        <f t="shared" si="0"/>
        <v>3</v>
      </c>
      <c r="M52" s="5">
        <f t="shared" si="1"/>
        <v>37.5</v>
      </c>
      <c r="N52" s="5" t="str">
        <f t="shared" si="2"/>
        <v>Poor</v>
      </c>
    </row>
    <row r="53" spans="1:14" ht="15.6" x14ac:dyDescent="0.3">
      <c r="A53" s="2">
        <v>51</v>
      </c>
      <c r="B53" s="3" t="s">
        <v>247</v>
      </c>
      <c r="C53" s="3" t="s">
        <v>248</v>
      </c>
      <c r="D53" s="14">
        <v>0</v>
      </c>
      <c r="E53" s="7">
        <v>0</v>
      </c>
      <c r="F53" s="7">
        <v>1</v>
      </c>
      <c r="G53" s="7">
        <v>0</v>
      </c>
      <c r="H53" s="7">
        <v>0</v>
      </c>
      <c r="I53" s="7">
        <v>1</v>
      </c>
      <c r="J53" s="7">
        <v>1</v>
      </c>
      <c r="K53" s="16">
        <v>1</v>
      </c>
      <c r="L53" s="5">
        <f t="shared" si="0"/>
        <v>4</v>
      </c>
      <c r="M53" s="5">
        <f t="shared" si="1"/>
        <v>50</v>
      </c>
      <c r="N53" s="5" t="str">
        <f t="shared" si="2"/>
        <v>Fair</v>
      </c>
    </row>
    <row r="54" spans="1:14" ht="15.6" x14ac:dyDescent="0.3">
      <c r="A54" s="2">
        <v>52</v>
      </c>
      <c r="B54" s="3" t="s">
        <v>249</v>
      </c>
      <c r="C54" s="3" t="s">
        <v>250</v>
      </c>
      <c r="D54" s="14">
        <v>1</v>
      </c>
      <c r="E54" s="7">
        <v>1</v>
      </c>
      <c r="F54" s="7">
        <v>1</v>
      </c>
      <c r="G54" s="7">
        <v>0</v>
      </c>
      <c r="H54" s="7">
        <v>1</v>
      </c>
      <c r="I54" s="7">
        <v>1</v>
      </c>
      <c r="J54" s="7">
        <v>1</v>
      </c>
      <c r="K54" s="16">
        <v>1</v>
      </c>
      <c r="L54" s="5">
        <f t="shared" si="0"/>
        <v>7</v>
      </c>
      <c r="M54" s="5">
        <f t="shared" si="1"/>
        <v>87.5</v>
      </c>
      <c r="N54" s="5" t="str">
        <f t="shared" si="2"/>
        <v>Excellent</v>
      </c>
    </row>
    <row r="55" spans="1:14" ht="15.6" x14ac:dyDescent="0.3">
      <c r="A55" s="2">
        <v>53</v>
      </c>
      <c r="B55" s="3" t="s">
        <v>251</v>
      </c>
      <c r="C55" s="3" t="s">
        <v>252</v>
      </c>
      <c r="D55" s="14">
        <v>1</v>
      </c>
      <c r="E55" s="7">
        <v>1</v>
      </c>
      <c r="F55" s="7">
        <v>1</v>
      </c>
      <c r="G55" s="7">
        <v>1</v>
      </c>
      <c r="H55" s="7">
        <v>0</v>
      </c>
      <c r="I55" s="7">
        <v>1</v>
      </c>
      <c r="J55" s="7">
        <v>0</v>
      </c>
      <c r="K55" s="16">
        <v>1</v>
      </c>
      <c r="L55" s="5">
        <f t="shared" si="0"/>
        <v>6</v>
      </c>
      <c r="M55" s="5">
        <f t="shared" si="1"/>
        <v>75</v>
      </c>
      <c r="N55" s="5" t="str">
        <f t="shared" si="2"/>
        <v>Very Good</v>
      </c>
    </row>
    <row r="56" spans="1:14" ht="15.6" x14ac:dyDescent="0.3">
      <c r="A56" s="2">
        <v>54</v>
      </c>
      <c r="B56" s="3" t="s">
        <v>253</v>
      </c>
      <c r="C56" s="3" t="s">
        <v>254</v>
      </c>
      <c r="D56" s="14">
        <v>1</v>
      </c>
      <c r="E56" s="7">
        <v>1</v>
      </c>
      <c r="F56" s="7">
        <v>1</v>
      </c>
      <c r="G56" s="7">
        <v>1</v>
      </c>
      <c r="H56" s="7">
        <v>0</v>
      </c>
      <c r="I56" s="7">
        <v>1</v>
      </c>
      <c r="J56" s="7">
        <v>1</v>
      </c>
      <c r="K56" s="16">
        <v>1</v>
      </c>
      <c r="L56" s="5">
        <f t="shared" si="0"/>
        <v>7</v>
      </c>
      <c r="M56" s="5">
        <f t="shared" si="1"/>
        <v>87.5</v>
      </c>
      <c r="N56" s="5" t="str">
        <f t="shared" si="2"/>
        <v>Excellent</v>
      </c>
    </row>
    <row r="57" spans="1:14" ht="15.6" x14ac:dyDescent="0.3">
      <c r="A57" s="2">
        <v>55</v>
      </c>
      <c r="B57" s="3" t="s">
        <v>255</v>
      </c>
      <c r="C57" s="3" t="s">
        <v>256</v>
      </c>
      <c r="D57" s="14">
        <v>1</v>
      </c>
      <c r="E57" s="7">
        <v>1</v>
      </c>
      <c r="F57" s="7">
        <v>1</v>
      </c>
      <c r="G57" s="7">
        <v>1</v>
      </c>
      <c r="H57" s="7">
        <v>0</v>
      </c>
      <c r="I57" s="7">
        <v>1</v>
      </c>
      <c r="J57" s="7">
        <v>1</v>
      </c>
      <c r="K57" s="16">
        <v>1</v>
      </c>
      <c r="L57" s="5">
        <f t="shared" si="0"/>
        <v>7</v>
      </c>
      <c r="M57" s="5">
        <f t="shared" si="1"/>
        <v>87.5</v>
      </c>
      <c r="N57" s="5" t="str">
        <f t="shared" si="2"/>
        <v>Excellent</v>
      </c>
    </row>
    <row r="58" spans="1:14" ht="15.6" x14ac:dyDescent="0.3">
      <c r="A58" s="2">
        <v>56</v>
      </c>
      <c r="B58" s="3" t="s">
        <v>257</v>
      </c>
      <c r="C58" s="3" t="s">
        <v>258</v>
      </c>
      <c r="D58" s="14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16">
        <v>1</v>
      </c>
      <c r="L58" s="5">
        <f t="shared" si="0"/>
        <v>8</v>
      </c>
      <c r="M58" s="5">
        <f t="shared" si="1"/>
        <v>100</v>
      </c>
      <c r="N58" s="5" t="str">
        <f t="shared" si="2"/>
        <v>Excellent</v>
      </c>
    </row>
    <row r="59" spans="1:14" ht="15.6" x14ac:dyDescent="0.3">
      <c r="A59" s="2">
        <v>57</v>
      </c>
      <c r="B59" s="3" t="s">
        <v>259</v>
      </c>
      <c r="C59" s="3" t="s">
        <v>260</v>
      </c>
      <c r="D59" s="14">
        <v>0</v>
      </c>
      <c r="E59" s="7">
        <v>1</v>
      </c>
      <c r="F59" s="7">
        <v>1</v>
      </c>
      <c r="G59" s="7">
        <v>0</v>
      </c>
      <c r="H59" s="7">
        <v>0</v>
      </c>
      <c r="I59" s="7">
        <v>1</v>
      </c>
      <c r="J59" s="7">
        <v>1</v>
      </c>
      <c r="K59" s="15">
        <v>0</v>
      </c>
      <c r="L59" s="5">
        <f t="shared" si="0"/>
        <v>4</v>
      </c>
      <c r="M59" s="5">
        <f t="shared" si="1"/>
        <v>50</v>
      </c>
      <c r="N59" s="5" t="str">
        <f t="shared" si="2"/>
        <v>Fair</v>
      </c>
    </row>
    <row r="60" spans="1:14" ht="15.6" x14ac:dyDescent="0.3">
      <c r="A60" s="2">
        <v>58</v>
      </c>
      <c r="B60" s="3" t="s">
        <v>261</v>
      </c>
      <c r="C60" s="3" t="s">
        <v>262</v>
      </c>
      <c r="D60" s="14">
        <v>1</v>
      </c>
      <c r="E60" s="7">
        <v>1</v>
      </c>
      <c r="F60" s="7">
        <v>1</v>
      </c>
      <c r="G60" s="7">
        <v>0</v>
      </c>
      <c r="H60" s="7">
        <v>0</v>
      </c>
      <c r="I60" s="7">
        <v>0</v>
      </c>
      <c r="J60" s="7">
        <v>1</v>
      </c>
      <c r="K60" s="16">
        <v>1</v>
      </c>
      <c r="L60" s="5">
        <f t="shared" si="0"/>
        <v>5</v>
      </c>
      <c r="M60" s="5">
        <f t="shared" si="1"/>
        <v>62.5</v>
      </c>
      <c r="N60" s="5" t="str">
        <f t="shared" si="2"/>
        <v>Good</v>
      </c>
    </row>
    <row r="61" spans="1:14" ht="15.6" x14ac:dyDescent="0.3">
      <c r="A61" s="2">
        <v>59</v>
      </c>
      <c r="B61" s="3" t="s">
        <v>263</v>
      </c>
      <c r="C61" s="3" t="s">
        <v>264</v>
      </c>
      <c r="D61" s="14">
        <v>1</v>
      </c>
      <c r="E61" s="7">
        <v>1</v>
      </c>
      <c r="F61" s="7">
        <v>1</v>
      </c>
      <c r="G61" s="7">
        <v>0</v>
      </c>
      <c r="H61" s="7">
        <v>0</v>
      </c>
      <c r="I61" s="7">
        <v>0</v>
      </c>
      <c r="J61" s="7">
        <v>1</v>
      </c>
      <c r="K61" s="16">
        <v>1</v>
      </c>
      <c r="L61" s="5">
        <f t="shared" si="0"/>
        <v>5</v>
      </c>
      <c r="M61" s="5">
        <f t="shared" si="1"/>
        <v>62.5</v>
      </c>
      <c r="N61" s="5" t="str">
        <f t="shared" si="2"/>
        <v>Good</v>
      </c>
    </row>
    <row r="62" spans="1:14" ht="15.6" x14ac:dyDescent="0.3">
      <c r="A62" s="2">
        <v>60</v>
      </c>
      <c r="B62" s="3" t="s">
        <v>265</v>
      </c>
      <c r="C62" s="3" t="s">
        <v>266</v>
      </c>
      <c r="D62" s="14">
        <v>1</v>
      </c>
      <c r="E62" s="7">
        <v>1</v>
      </c>
      <c r="F62" s="7">
        <v>1</v>
      </c>
      <c r="G62" s="7">
        <v>0</v>
      </c>
      <c r="H62" s="7">
        <v>0</v>
      </c>
      <c r="I62" s="7">
        <v>0</v>
      </c>
      <c r="J62" s="7">
        <v>1</v>
      </c>
      <c r="K62" s="16">
        <v>1</v>
      </c>
      <c r="L62" s="5">
        <f t="shared" si="0"/>
        <v>5</v>
      </c>
      <c r="M62" s="5">
        <f t="shared" si="1"/>
        <v>62.5</v>
      </c>
      <c r="N62" s="5" t="str">
        <f t="shared" si="2"/>
        <v>Good</v>
      </c>
    </row>
    <row r="63" spans="1:14" ht="15.6" x14ac:dyDescent="0.3">
      <c r="A63" s="2">
        <v>61</v>
      </c>
      <c r="B63" s="3" t="s">
        <v>267</v>
      </c>
      <c r="C63" s="3" t="s">
        <v>268</v>
      </c>
      <c r="D63" s="14">
        <v>1</v>
      </c>
      <c r="E63" s="7">
        <v>1</v>
      </c>
      <c r="F63" s="7">
        <v>1</v>
      </c>
      <c r="G63" s="7">
        <v>0</v>
      </c>
      <c r="H63" s="7">
        <v>0</v>
      </c>
      <c r="I63" s="7">
        <v>0</v>
      </c>
      <c r="J63" s="7">
        <v>1</v>
      </c>
      <c r="K63" s="16">
        <v>1</v>
      </c>
      <c r="L63" s="5">
        <f t="shared" si="0"/>
        <v>5</v>
      </c>
      <c r="M63" s="5">
        <f t="shared" si="1"/>
        <v>62.5</v>
      </c>
      <c r="N63" s="5" t="str">
        <f t="shared" si="2"/>
        <v>Good</v>
      </c>
    </row>
    <row r="64" spans="1:14" ht="15.6" x14ac:dyDescent="0.3">
      <c r="A64" s="2">
        <v>62</v>
      </c>
      <c r="B64" s="3" t="s">
        <v>269</v>
      </c>
      <c r="C64" s="3" t="s">
        <v>270</v>
      </c>
      <c r="D64" s="14">
        <v>1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16">
        <v>1</v>
      </c>
      <c r="L64" s="5">
        <f t="shared" si="0"/>
        <v>5</v>
      </c>
      <c r="M64" s="5">
        <f t="shared" si="1"/>
        <v>62.5</v>
      </c>
      <c r="N64" s="5" t="str">
        <f t="shared" si="2"/>
        <v>Good</v>
      </c>
    </row>
    <row r="65" spans="1:15" ht="15.6" x14ac:dyDescent="0.3">
      <c r="A65" s="2">
        <v>63</v>
      </c>
      <c r="B65" s="3" t="s">
        <v>271</v>
      </c>
      <c r="C65" s="3" t="s">
        <v>272</v>
      </c>
      <c r="D65" s="14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5">
        <v>0</v>
      </c>
      <c r="L65" s="5">
        <f t="shared" si="0"/>
        <v>0</v>
      </c>
      <c r="M65" s="5">
        <f t="shared" si="1"/>
        <v>0</v>
      </c>
      <c r="N65" s="5" t="str">
        <f t="shared" si="2"/>
        <v>Poor</v>
      </c>
    </row>
    <row r="66" spans="1:15" ht="15.6" x14ac:dyDescent="0.3">
      <c r="A66" s="2">
        <v>64</v>
      </c>
      <c r="B66" s="3" t="s">
        <v>273</v>
      </c>
      <c r="C66" s="3" t="s">
        <v>274</v>
      </c>
      <c r="D66" s="14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5">
        <v>0</v>
      </c>
      <c r="L66" s="5">
        <f t="shared" si="0"/>
        <v>1</v>
      </c>
      <c r="M66" s="5">
        <f t="shared" si="1"/>
        <v>12.5</v>
      </c>
      <c r="N66" s="5" t="str">
        <f t="shared" si="2"/>
        <v>Poor</v>
      </c>
    </row>
    <row r="67" spans="1:15" ht="15.6" x14ac:dyDescent="0.3">
      <c r="A67" s="2">
        <v>65</v>
      </c>
      <c r="B67" s="3" t="s">
        <v>275</v>
      </c>
      <c r="C67" s="3" t="s">
        <v>276</v>
      </c>
      <c r="D67" s="14">
        <v>0</v>
      </c>
      <c r="E67" s="7">
        <v>1</v>
      </c>
      <c r="F67" s="7">
        <v>1</v>
      </c>
      <c r="G67" s="7">
        <v>0</v>
      </c>
      <c r="H67" s="7">
        <v>0</v>
      </c>
      <c r="I67" s="7">
        <v>0</v>
      </c>
      <c r="J67" s="7">
        <v>1</v>
      </c>
      <c r="K67" s="15">
        <v>0</v>
      </c>
      <c r="L67" s="5">
        <f t="shared" si="0"/>
        <v>3</v>
      </c>
      <c r="M67" s="5">
        <f t="shared" si="1"/>
        <v>37.5</v>
      </c>
      <c r="N67" s="5" t="str">
        <f t="shared" si="2"/>
        <v>Poor</v>
      </c>
    </row>
    <row r="68" spans="1:15" ht="15.6" x14ac:dyDescent="0.3">
      <c r="A68" s="2">
        <v>66</v>
      </c>
      <c r="B68" s="3" t="s">
        <v>277</v>
      </c>
      <c r="C68" s="3" t="s">
        <v>278</v>
      </c>
      <c r="D68" s="14">
        <v>1</v>
      </c>
      <c r="E68" s="7">
        <v>0</v>
      </c>
      <c r="F68" s="7">
        <v>1</v>
      </c>
      <c r="G68" s="7">
        <v>0</v>
      </c>
      <c r="H68" s="7">
        <v>1</v>
      </c>
      <c r="I68" s="7">
        <v>0</v>
      </c>
      <c r="J68" s="7">
        <v>1</v>
      </c>
      <c r="K68" s="16">
        <v>1</v>
      </c>
      <c r="L68" s="5">
        <f t="shared" ref="L68:L69" si="3">SUM(D68:K68)</f>
        <v>5</v>
      </c>
      <c r="M68" s="5">
        <f t="shared" ref="M68:M69" si="4">(L68/8)*100</f>
        <v>62.5</v>
      </c>
      <c r="N68" s="5" t="str">
        <f t="shared" ref="N68:N69" si="5">IF(M68&gt;=85,"Excellent",IF(M68&gt;=70,"Very Good",IF(M68&gt;=60,"Good",IF(M68&gt;=50,"Fair","Poor"))))</f>
        <v>Good</v>
      </c>
    </row>
    <row r="69" spans="1:15" ht="15.6" x14ac:dyDescent="0.3">
      <c r="A69" s="2">
        <v>67</v>
      </c>
      <c r="B69" s="3" t="s">
        <v>279</v>
      </c>
      <c r="C69" s="3" t="s">
        <v>280</v>
      </c>
      <c r="D69" s="14">
        <v>1</v>
      </c>
      <c r="E69" s="7">
        <v>1</v>
      </c>
      <c r="F69" s="7">
        <v>1</v>
      </c>
      <c r="G69" s="7">
        <v>0</v>
      </c>
      <c r="H69" s="7">
        <v>0</v>
      </c>
      <c r="I69" s="7">
        <v>0</v>
      </c>
      <c r="J69" s="7">
        <v>0</v>
      </c>
      <c r="K69" s="16">
        <v>1</v>
      </c>
      <c r="L69" s="5">
        <f t="shared" si="3"/>
        <v>4</v>
      </c>
      <c r="M69" s="5">
        <f t="shared" si="4"/>
        <v>50</v>
      </c>
      <c r="N69" s="5" t="str">
        <f t="shared" si="5"/>
        <v>Fair</v>
      </c>
    </row>
    <row r="71" spans="1:15" ht="15.6" x14ac:dyDescent="0.3">
      <c r="B71" s="13"/>
      <c r="C71" s="12"/>
      <c r="D71" s="6"/>
      <c r="E71" s="13"/>
      <c r="F71" s="13"/>
      <c r="G71" s="13"/>
      <c r="H71" s="13"/>
      <c r="I71" s="13"/>
      <c r="J71" s="13"/>
      <c r="K71" s="13"/>
      <c r="N71" s="1"/>
      <c r="O71" s="13"/>
    </row>
    <row r="72" spans="1:15" ht="15.6" x14ac:dyDescent="0.3">
      <c r="B72" s="13"/>
      <c r="C72" s="13"/>
      <c r="D72" s="6"/>
      <c r="E72" s="13"/>
      <c r="F72" s="13"/>
      <c r="G72" s="13"/>
      <c r="H72" s="13"/>
      <c r="I72" s="13"/>
      <c r="J72" s="13"/>
      <c r="K72" s="13"/>
      <c r="N72" s="1"/>
    </row>
  </sheetData>
  <conditionalFormatting sqref="D3:D36">
    <cfRule type="cellIs" dxfId="28" priority="25" operator="equal">
      <formula>0</formula>
    </cfRule>
  </conditionalFormatting>
  <conditionalFormatting sqref="D37:D69">
    <cfRule type="cellIs" dxfId="27" priority="20" operator="equal">
      <formula>0</formula>
    </cfRule>
  </conditionalFormatting>
  <conditionalFormatting sqref="D1:J69">
    <cfRule type="cellIs" dxfId="26" priority="16" operator="equal">
      <formula>0</formula>
    </cfRule>
  </conditionalFormatting>
  <conditionalFormatting sqref="E3:F36">
    <cfRule type="cellIs" dxfId="25" priority="24" operator="equal">
      <formula>0</formula>
    </cfRule>
  </conditionalFormatting>
  <conditionalFormatting sqref="F37:F69">
    <cfRule type="cellIs" dxfId="24" priority="18" operator="equal">
      <formula>0</formula>
    </cfRule>
  </conditionalFormatting>
  <conditionalFormatting sqref="G3:J69">
    <cfRule type="cellIs" dxfId="23" priority="17" operator="equal">
      <formula>0</formula>
    </cfRule>
  </conditionalFormatting>
  <conditionalFormatting sqref="K1:K70 K73:K1048576">
    <cfRule type="cellIs" dxfId="22" priority="15" operator="equal">
      <formula>1</formula>
    </cfRule>
  </conditionalFormatting>
  <conditionalFormatting sqref="N1:N2">
    <cfRule type="cellIs" dxfId="21" priority="10" operator="equal">
      <formula>"Very Good"</formula>
    </cfRule>
    <cfRule type="cellIs" dxfId="20" priority="11" operator="equal">
      <formula>"Fair"</formula>
    </cfRule>
  </conditionalFormatting>
  <conditionalFormatting sqref="N1:N69">
    <cfRule type="cellIs" dxfId="19" priority="6" operator="equal">
      <formula>"Good"</formula>
    </cfRule>
    <cfRule type="cellIs" dxfId="18" priority="7" operator="equal">
      <formula>"Excellent"</formula>
    </cfRule>
    <cfRule type="cellIs" dxfId="17" priority="9" operator="equal">
      <formula>"Poor"</formula>
    </cfRule>
  </conditionalFormatting>
  <conditionalFormatting sqref="N3:N69">
    <cfRule type="cellIs" dxfId="16" priority="8" operator="equal">
      <formula>"Very Good"</formula>
    </cfRule>
  </conditionalFormatting>
  <conditionalFormatting sqref="N71:N72">
    <cfRule type="cellIs" dxfId="15" priority="1" operator="equal">
      <formula>"Very Good"</formula>
    </cfRule>
    <cfRule type="cellIs" dxfId="14" priority="2" operator="equal">
      <formula>"Fair"</formula>
    </cfRule>
    <cfRule type="cellIs" dxfId="13" priority="3" operator="equal">
      <formula>"Good"</formula>
    </cfRule>
    <cfRule type="cellIs" dxfId="12" priority="4" operator="equal">
      <formula>"Excellent"</formula>
    </cfRule>
    <cfRule type="cellIs" dxfId="11" priority="5" operator="equal">
      <formula>"Poor"</formula>
    </cfRule>
  </conditionalFormatting>
  <pageMargins left="0.7" right="0.7" top="0.75" bottom="0.75" header="0.3" footer="0.3"/>
  <pageSetup scale="6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FB9D250E9404292B0BBAF810E91D0" ma:contentTypeVersion="9" ma:contentTypeDescription="Create a new document." ma:contentTypeScope="" ma:versionID="8a43840543474670fc36a2ecd1ee1742">
  <xsd:schema xmlns:xsd="http://www.w3.org/2001/XMLSchema" xmlns:xs="http://www.w3.org/2001/XMLSchema" xmlns:p="http://schemas.microsoft.com/office/2006/metadata/properties" xmlns:ns3="dca9a744-f7f9-4ef4-b9ff-d5d760bcb699" targetNamespace="http://schemas.microsoft.com/office/2006/metadata/properties" ma:root="true" ma:fieldsID="517159ba14cb3dc4d678f521cf1ad72d" ns3:_="">
    <xsd:import namespace="dca9a744-f7f9-4ef4-b9ff-d5d760bcb6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9a744-f7f9-4ef4-b9ff-d5d760bcb6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a9a744-f7f9-4ef4-b9ff-d5d760bcb6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F7CB2-92E2-4FC4-A688-A99491220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a9a744-f7f9-4ef4-b9ff-d5d760bcb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87FF5-896E-49F0-A706-706C85123D95}">
  <ds:schemaRefs>
    <ds:schemaRef ds:uri="http://schemas.microsoft.com/office/2006/metadata/properties"/>
    <ds:schemaRef ds:uri="http://schemas.microsoft.com/office/infopath/2007/PartnerControls"/>
    <ds:schemaRef ds:uri="dca9a744-f7f9-4ef4-b9ff-d5d760bcb699"/>
  </ds:schemaRefs>
</ds:datastoreItem>
</file>

<file path=customXml/itemProps3.xml><?xml version="1.0" encoding="utf-8"?>
<ds:datastoreItem xmlns:ds="http://schemas.openxmlformats.org/officeDocument/2006/customXml" ds:itemID="{CE3ED277-FFC9-4448-8AB9-D899C3138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6A</vt:lpstr>
      <vt:lpstr>6B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THEJA N</dc:creator>
  <cp:keywords/>
  <dc:description/>
  <cp:lastModifiedBy>THEJA N</cp:lastModifiedBy>
  <cp:revision/>
  <cp:lastPrinted>2026-05-20T13:57:46Z</cp:lastPrinted>
  <dcterms:created xsi:type="dcterms:W3CDTF">2026-02-23T23:02:47Z</dcterms:created>
  <dcterms:modified xsi:type="dcterms:W3CDTF">2026-05-23T18:35:49Z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0x010100206FB9D250E9404292B0BBAF810E91D0</vt:lpwstr>
  </property>
</Properties>
</file>